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umentos\analise_dados\"/>
    </mc:Choice>
  </mc:AlternateContent>
  <xr:revisionPtr revIDLastSave="0" documentId="8_{3F3FF1FF-A971-41E4-819F-0DD120B662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2" i="1"/>
</calcChain>
</file>

<file path=xl/sharedStrings.xml><?xml version="1.0" encoding="utf-8"?>
<sst xmlns="http://schemas.openxmlformats.org/spreadsheetml/2006/main" count="146" uniqueCount="146">
  <si>
    <t>Municipio</t>
  </si>
  <si>
    <t>Codigo IBGE</t>
  </si>
  <si>
    <t>População</t>
  </si>
  <si>
    <t>Gasto_Seguranca</t>
  </si>
  <si>
    <t>valor_icms</t>
  </si>
  <si>
    <t>Qtd_Homicidios</t>
  </si>
  <si>
    <t>taxa/1000hab</t>
  </si>
  <si>
    <t>PIB</t>
  </si>
  <si>
    <t>PIB_per_capita</t>
  </si>
  <si>
    <t>Ano</t>
  </si>
  <si>
    <t>Ano_PIB</t>
  </si>
  <si>
    <t>Impostos_Arrecadados</t>
  </si>
  <si>
    <t>Abadia de Goiás</t>
  </si>
  <si>
    <t>Aloândia</t>
  </si>
  <si>
    <t>Amaralina</t>
  </si>
  <si>
    <t>Anápolis</t>
  </si>
  <si>
    <t>Aparecida de Goiânia</t>
  </si>
  <si>
    <t>Aporé</t>
  </si>
  <si>
    <t>Aragarças</t>
  </si>
  <si>
    <t>Arenópolis</t>
  </si>
  <si>
    <t>Aruanã</t>
  </si>
  <si>
    <t>Barro Alto</t>
  </si>
  <si>
    <t>Bela Vista de Goiás</t>
  </si>
  <si>
    <t>Bom Jardim de Goiás</t>
  </si>
  <si>
    <t>Bonfinópolis</t>
  </si>
  <si>
    <t>Bonópolis</t>
  </si>
  <si>
    <t>Brazabrantes</t>
  </si>
  <si>
    <t>Britânia</t>
  </si>
  <si>
    <t>Cabeceiras</t>
  </si>
  <si>
    <t>Cachoeira Dourada</t>
  </si>
  <si>
    <t>Caldas Novas</t>
  </si>
  <si>
    <t>Caldazinha</t>
  </si>
  <si>
    <t>Campestre de Goiás</t>
  </si>
  <si>
    <t>Campinorte</t>
  </si>
  <si>
    <t>Campo Alegre de Goiás</t>
  </si>
  <si>
    <t>Campos Verdes</t>
  </si>
  <si>
    <t>Carmo do Rio Verde</t>
  </si>
  <si>
    <t>Castelândia</t>
  </si>
  <si>
    <t>Catalão</t>
  </si>
  <si>
    <t>Caturaí</t>
  </si>
  <si>
    <t>Caçu</t>
  </si>
  <si>
    <t>Ceres</t>
  </si>
  <si>
    <t>Chapadão do Céu</t>
  </si>
  <si>
    <t>Cidade Ocidental</t>
  </si>
  <si>
    <t>Cocalzinho de Goiás</t>
  </si>
  <si>
    <t>Corumbaíba</t>
  </si>
  <si>
    <t>Cristalina</t>
  </si>
  <si>
    <t>Cristianópolis</t>
  </si>
  <si>
    <t>Crixás</t>
  </si>
  <si>
    <t>Damolândia</t>
  </si>
  <si>
    <t>Doverlândia</t>
  </si>
  <si>
    <t>Edéia</t>
  </si>
  <si>
    <t>Fazenda Nova</t>
  </si>
  <si>
    <t>Firminópolis</t>
  </si>
  <si>
    <t>Flores de Goiás</t>
  </si>
  <si>
    <t>Formosa</t>
  </si>
  <si>
    <t>Goianira</t>
  </si>
  <si>
    <t>Goianápolis</t>
  </si>
  <si>
    <t>Goianésia</t>
  </si>
  <si>
    <t>Goiatuba</t>
  </si>
  <si>
    <t>Goiás</t>
  </si>
  <si>
    <t>Goiânia</t>
  </si>
  <si>
    <t>Indiara</t>
  </si>
  <si>
    <t>Inhumas</t>
  </si>
  <si>
    <t>Ipameri</t>
  </si>
  <si>
    <t>Iporá</t>
  </si>
  <si>
    <t>Itaberaí</t>
  </si>
  <si>
    <t>Itajá</t>
  </si>
  <si>
    <t>Itapaci</t>
  </si>
  <si>
    <t>Itapirapuã</t>
  </si>
  <si>
    <t>Itapuranga</t>
  </si>
  <si>
    <t>Itarumã</t>
  </si>
  <si>
    <t>Itumbiara</t>
  </si>
  <si>
    <t>Jaraguá</t>
  </si>
  <si>
    <t>Jataí</t>
  </si>
  <si>
    <t>Joviânia</t>
  </si>
  <si>
    <t>Jussara</t>
  </si>
  <si>
    <t>Leopoldo de Bulhões</t>
  </si>
  <si>
    <t>Luziânia</t>
  </si>
  <si>
    <t>Mara Rosa</t>
  </si>
  <si>
    <t>Maurilândia</t>
  </si>
  <si>
    <t>Mimoso de Goiás</t>
  </si>
  <si>
    <t>Minaçu</t>
  </si>
  <si>
    <t>Mineiros</t>
  </si>
  <si>
    <t>Montividiu do Norte</t>
  </si>
  <si>
    <t>Morrinhos</t>
  </si>
  <si>
    <t>Mozarlândia</t>
  </si>
  <si>
    <t>Mundo Novo</t>
  </si>
  <si>
    <t>Mutunópolis</t>
  </si>
  <si>
    <t>Nazário</t>
  </si>
  <si>
    <t>Nerópolis</t>
  </si>
  <si>
    <t>Niquelândia</t>
  </si>
  <si>
    <t>Nova Crixás</t>
  </si>
  <si>
    <t>Nova Glória</t>
  </si>
  <si>
    <t>Novo Brasil</t>
  </si>
  <si>
    <t>Novo Gama</t>
  </si>
  <si>
    <t>Orizona</t>
  </si>
  <si>
    <t>Ouvidor</t>
  </si>
  <si>
    <t>Palestina de Goiás</t>
  </si>
  <si>
    <t>Palmeiras de Goiás</t>
  </si>
  <si>
    <t>Palminópolis</t>
  </si>
  <si>
    <t>Paranaiguara</t>
  </si>
  <si>
    <t>Paraúna</t>
  </si>
  <si>
    <t>Perolândia</t>
  </si>
  <si>
    <t>Pilar de Goiás</t>
  </si>
  <si>
    <t>Piracanjuba</t>
  </si>
  <si>
    <t>Piranhas</t>
  </si>
  <si>
    <t>Pirenópolis</t>
  </si>
  <si>
    <t>Pires do Rio</t>
  </si>
  <si>
    <t>Planaltina</t>
  </si>
  <si>
    <t>Pontalina</t>
  </si>
  <si>
    <t>Porteirão</t>
  </si>
  <si>
    <t>Posse</t>
  </si>
  <si>
    <t>Quirinópolis</t>
  </si>
  <si>
    <t>Rialma</t>
  </si>
  <si>
    <t>Rio Quente</t>
  </si>
  <si>
    <t>Rio Verde</t>
  </si>
  <si>
    <t>Rubiataba</t>
  </si>
  <si>
    <t>Santa Bárbara de Goiás</t>
  </si>
  <si>
    <t>Santa Helena de Goiás</t>
  </si>
  <si>
    <t>Santa Rita do Araguaia</t>
  </si>
  <si>
    <t>Santa Tereza de Goiás</t>
  </si>
  <si>
    <t>Santa Terezinha de Goiás</t>
  </si>
  <si>
    <t>Santo Antônio do Descoberto</t>
  </si>
  <si>
    <t>Senador Canedo</t>
  </si>
  <si>
    <t>Silvânia</t>
  </si>
  <si>
    <t>Simolândia</t>
  </si>
  <si>
    <t>São Francisco de Goiás</t>
  </si>
  <si>
    <t>São João d'Aliança</t>
  </si>
  <si>
    <t>São Luís de Montes Belos</t>
  </si>
  <si>
    <t>São Luíz do Norte</t>
  </si>
  <si>
    <t>São Miguel do Araguaia</t>
  </si>
  <si>
    <t>São Simão</t>
  </si>
  <si>
    <t>Terezópolis de Goiás</t>
  </si>
  <si>
    <t>Trindade</t>
  </si>
  <si>
    <t>Trombas</t>
  </si>
  <si>
    <t>Turvelândia</t>
  </si>
  <si>
    <t>Uruana</t>
  </si>
  <si>
    <t>Uruaçu</t>
  </si>
  <si>
    <t>Urutaí</t>
  </si>
  <si>
    <t>Valparaíso de Goiás</t>
  </si>
  <si>
    <t>Vicentinópolis</t>
  </si>
  <si>
    <t>Vila Boa</t>
  </si>
  <si>
    <t>Água Fria de Goiás</t>
  </si>
  <si>
    <t>Águas Lindas de Goiás</t>
  </si>
  <si>
    <t>imposto_per_capita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</si>
</sst>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tabSelected="1" workbookViewId="0">
      <selection activeCell="M3" sqref="M3"/>
    </sheetView>
  </sheetViews>
  <sheetFormatPr defaultRowHeight="15" x14ac:dyDescent="0.25"/>
  <cols>
    <col min="1" max="1" width="27.42578125" bestFit="1" customWidth="1"/>
    <col min="2" max="2" width="11.7109375" bestFit="1" customWidth="1"/>
    <col min="3" max="3" width="10.140625" bestFit="1" customWidth="1"/>
    <col min="4" max="4" width="16.28515625" bestFit="1" customWidth="1"/>
    <col min="5" max="5" width="12" bestFit="1" customWidth="1"/>
    <col min="6" max="6" width="15.28515625" bestFit="1" customWidth="1"/>
    <col min="7" max="7" width="12.85546875" bestFit="1" customWidth="1"/>
    <col min="8" max="8" width="12" bestFit="1" customWidth="1"/>
    <col min="9" max="9" width="14.28515625" bestFit="1" customWidth="1"/>
    <col min="10" max="10" width="5" bestFit="1" customWidth="1"/>
    <col min="11" max="11" width="8.42578125" bestFit="1" customWidth="1"/>
    <col min="12" max="12" width="21.5703125" bestFit="1" customWidth="1"/>
    <col min="13" max="13" width="18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145</v>
      </c>
    </row>
    <row r="2" spans="1:13" x14ac:dyDescent="0.25">
      <c r="A2" t="s">
        <v>12</v>
      </c>
      <c r="B2" s="3">
        <v>5200050</v>
      </c>
      <c r="C2">
        <v>9158</v>
      </c>
      <c r="D2">
        <v>158683.04999999999</v>
      </c>
      <c r="E2">
        <v>1820824.43</v>
      </c>
      <c r="F2">
        <v>4</v>
      </c>
      <c r="G2">
        <v>0.43677658877484171</v>
      </c>
      <c r="H2">
        <v>353700000</v>
      </c>
      <c r="I2">
        <v>38621.97</v>
      </c>
      <c r="J2">
        <v>2023</v>
      </c>
      <c r="K2">
        <v>2021</v>
      </c>
      <c r="L2">
        <v>32998939.789999999</v>
      </c>
      <c r="M2">
        <f>L2/C2</f>
        <v>3603.2910886656473</v>
      </c>
    </row>
    <row r="3" spans="1:13" x14ac:dyDescent="0.25">
      <c r="A3" t="s">
        <v>13</v>
      </c>
      <c r="B3" s="3">
        <v>5200506</v>
      </c>
      <c r="C3">
        <v>1976</v>
      </c>
      <c r="D3">
        <v>88270.43</v>
      </c>
      <c r="E3">
        <v>330443.08</v>
      </c>
      <c r="F3">
        <v>1</v>
      </c>
      <c r="G3">
        <v>0.50607287449392713</v>
      </c>
      <c r="H3">
        <v>63728000</v>
      </c>
      <c r="I3">
        <v>32251.01</v>
      </c>
      <c r="J3">
        <v>2023</v>
      </c>
      <c r="K3">
        <v>2021</v>
      </c>
      <c r="L3">
        <v>2655340.36</v>
      </c>
      <c r="M3">
        <f t="shared" ref="M3:M66" si="0">L3/C3</f>
        <v>1343.7957287449392</v>
      </c>
    </row>
    <row r="4" spans="1:13" x14ac:dyDescent="0.25">
      <c r="A4" t="s">
        <v>14</v>
      </c>
      <c r="B4" s="3">
        <v>5200829</v>
      </c>
      <c r="C4">
        <v>3875</v>
      </c>
      <c r="D4">
        <v>7455</v>
      </c>
      <c r="E4">
        <v>6542041.9100000001</v>
      </c>
      <c r="F4">
        <v>1</v>
      </c>
      <c r="G4">
        <v>0.25806451612903231</v>
      </c>
      <c r="H4">
        <v>109077000</v>
      </c>
      <c r="I4">
        <v>28148.9</v>
      </c>
      <c r="J4">
        <v>2023</v>
      </c>
      <c r="K4">
        <v>2021</v>
      </c>
      <c r="L4">
        <v>10254002.960000001</v>
      </c>
      <c r="M4">
        <f t="shared" si="0"/>
        <v>2646.1943122580647</v>
      </c>
    </row>
    <row r="5" spans="1:13" x14ac:dyDescent="0.25">
      <c r="A5" t="s">
        <v>15</v>
      </c>
      <c r="B5" s="3">
        <v>5201108</v>
      </c>
      <c r="C5">
        <v>396526</v>
      </c>
      <c r="D5">
        <v>24145878.050000001</v>
      </c>
      <c r="E5">
        <v>324363514.13999999</v>
      </c>
      <c r="F5">
        <v>53</v>
      </c>
      <c r="G5">
        <v>0.13366084443390849</v>
      </c>
      <c r="H5">
        <v>17788289000</v>
      </c>
      <c r="I5">
        <v>44860.33</v>
      </c>
      <c r="J5">
        <v>2023</v>
      </c>
      <c r="K5">
        <v>2021</v>
      </c>
      <c r="L5">
        <v>1512357315.9100001</v>
      </c>
      <c r="M5">
        <f t="shared" si="0"/>
        <v>3814.0180364213193</v>
      </c>
    </row>
    <row r="6" spans="1:13" x14ac:dyDescent="0.25">
      <c r="A6" t="s">
        <v>16</v>
      </c>
      <c r="B6" s="3">
        <v>5201405</v>
      </c>
      <c r="C6">
        <v>601844</v>
      </c>
      <c r="D6">
        <v>42007161.060000002</v>
      </c>
      <c r="E6">
        <v>287705660.91000003</v>
      </c>
      <c r="F6">
        <v>139</v>
      </c>
      <c r="G6">
        <v>0.23095685925256379</v>
      </c>
      <c r="H6">
        <v>16979984000</v>
      </c>
      <c r="I6">
        <v>28213.26</v>
      </c>
      <c r="J6">
        <v>2023</v>
      </c>
      <c r="K6">
        <v>2021</v>
      </c>
      <c r="L6">
        <v>1592477417.99</v>
      </c>
      <c r="M6">
        <f t="shared" si="0"/>
        <v>2645.996999205774</v>
      </c>
    </row>
    <row r="7" spans="1:13" x14ac:dyDescent="0.25">
      <c r="A7" t="s">
        <v>17</v>
      </c>
      <c r="B7" s="3">
        <v>5201504</v>
      </c>
      <c r="C7">
        <v>4266</v>
      </c>
      <c r="D7">
        <v>169045.02</v>
      </c>
      <c r="E7">
        <v>14127883.18</v>
      </c>
      <c r="F7">
        <v>1</v>
      </c>
      <c r="G7">
        <v>0.23441162681669009</v>
      </c>
      <c r="H7">
        <v>395713000</v>
      </c>
      <c r="I7">
        <v>92759.73</v>
      </c>
      <c r="J7">
        <v>2023</v>
      </c>
      <c r="K7">
        <v>2021</v>
      </c>
      <c r="L7">
        <v>53468186.989999987</v>
      </c>
      <c r="M7">
        <f t="shared" si="0"/>
        <v>12533.564695264882</v>
      </c>
    </row>
    <row r="8" spans="1:13" x14ac:dyDescent="0.25">
      <c r="A8" t="s">
        <v>18</v>
      </c>
      <c r="B8" s="3">
        <v>5201702</v>
      </c>
      <c r="C8">
        <v>20410</v>
      </c>
      <c r="D8">
        <v>2342.9299999999998</v>
      </c>
      <c r="E8">
        <v>7028020.71</v>
      </c>
      <c r="F8">
        <v>12</v>
      </c>
      <c r="G8">
        <v>0.58794708476237145</v>
      </c>
      <c r="H8">
        <v>277710000</v>
      </c>
      <c r="I8">
        <v>13606.57</v>
      </c>
      <c r="J8">
        <v>2023</v>
      </c>
      <c r="K8">
        <v>2021</v>
      </c>
      <c r="L8">
        <v>18321963.48</v>
      </c>
      <c r="M8">
        <f t="shared" si="0"/>
        <v>897.69541793238614</v>
      </c>
    </row>
    <row r="9" spans="1:13" x14ac:dyDescent="0.25">
      <c r="A9" t="s">
        <v>19</v>
      </c>
      <c r="B9" s="3">
        <v>5202353</v>
      </c>
      <c r="C9">
        <v>2462</v>
      </c>
      <c r="D9">
        <v>17240.07</v>
      </c>
      <c r="E9">
        <v>7826213.8600000003</v>
      </c>
      <c r="F9">
        <v>1</v>
      </c>
      <c r="G9">
        <v>0.40617384240454912</v>
      </c>
      <c r="H9">
        <v>222580000</v>
      </c>
      <c r="I9">
        <v>90406.17</v>
      </c>
      <c r="J9">
        <v>2023</v>
      </c>
      <c r="K9">
        <v>2021</v>
      </c>
      <c r="L9">
        <v>7517733.7699999996</v>
      </c>
      <c r="M9">
        <f t="shared" si="0"/>
        <v>3053.506811535337</v>
      </c>
    </row>
    <row r="10" spans="1:13" x14ac:dyDescent="0.25">
      <c r="A10" t="s">
        <v>20</v>
      </c>
      <c r="B10" s="3">
        <v>5202502</v>
      </c>
      <c r="C10">
        <v>10340</v>
      </c>
      <c r="D10">
        <v>157650.60999999999</v>
      </c>
      <c r="E10">
        <v>11594985.68</v>
      </c>
      <c r="F10">
        <v>3</v>
      </c>
      <c r="G10">
        <v>0.29013539651837522</v>
      </c>
      <c r="H10">
        <v>291962000</v>
      </c>
      <c r="I10">
        <v>28236.17</v>
      </c>
      <c r="J10">
        <v>2023</v>
      </c>
      <c r="K10">
        <v>2021</v>
      </c>
      <c r="L10">
        <v>48893265.189999998</v>
      </c>
      <c r="M10">
        <f t="shared" si="0"/>
        <v>4728.5556276595744</v>
      </c>
    </row>
    <row r="11" spans="1:13" x14ac:dyDescent="0.25">
      <c r="A11" t="s">
        <v>21</v>
      </c>
      <c r="B11" s="3">
        <v>5203203</v>
      </c>
      <c r="C11">
        <v>11643</v>
      </c>
      <c r="D11">
        <v>992111.17</v>
      </c>
      <c r="E11">
        <v>65675709.170000002</v>
      </c>
      <c r="F11">
        <v>5</v>
      </c>
      <c r="G11">
        <v>0.42944258352658249</v>
      </c>
      <c r="H11">
        <v>1573567000</v>
      </c>
      <c r="I11">
        <v>135151.34</v>
      </c>
      <c r="J11">
        <v>2023</v>
      </c>
      <c r="K11">
        <v>2021</v>
      </c>
      <c r="L11">
        <v>144859467.81</v>
      </c>
      <c r="M11">
        <f t="shared" si="0"/>
        <v>12441.764820922443</v>
      </c>
    </row>
    <row r="12" spans="1:13" x14ac:dyDescent="0.25">
      <c r="A12" t="s">
        <v>22</v>
      </c>
      <c r="B12" s="3">
        <v>5203302</v>
      </c>
      <c r="C12">
        <v>31004</v>
      </c>
      <c r="D12">
        <v>106938.89</v>
      </c>
      <c r="E12">
        <v>40795731.670000002</v>
      </c>
      <c r="F12">
        <v>9</v>
      </c>
      <c r="G12">
        <v>0.2902851245000645</v>
      </c>
      <c r="H12">
        <v>1480966000</v>
      </c>
      <c r="I12">
        <v>47766.93</v>
      </c>
      <c r="J12">
        <v>2023</v>
      </c>
      <c r="K12">
        <v>2021</v>
      </c>
      <c r="L12">
        <v>77885849.599999994</v>
      </c>
      <c r="M12">
        <f t="shared" si="0"/>
        <v>2512.1226164365885</v>
      </c>
    </row>
    <row r="13" spans="1:13" x14ac:dyDescent="0.25">
      <c r="A13" t="s">
        <v>23</v>
      </c>
      <c r="B13" s="3">
        <v>5203401</v>
      </c>
      <c r="C13">
        <v>8912</v>
      </c>
      <c r="D13">
        <v>95345.59</v>
      </c>
      <c r="E13">
        <v>9726852.0800000001</v>
      </c>
      <c r="F13">
        <v>3</v>
      </c>
      <c r="G13">
        <v>0.33662477558348303</v>
      </c>
      <c r="H13">
        <v>257660000</v>
      </c>
      <c r="I13">
        <v>28911.58</v>
      </c>
      <c r="J13">
        <v>2023</v>
      </c>
      <c r="K13">
        <v>2021</v>
      </c>
      <c r="L13">
        <v>9299490.9800000004</v>
      </c>
      <c r="M13">
        <f t="shared" si="0"/>
        <v>1043.4796880610413</v>
      </c>
    </row>
    <row r="14" spans="1:13" x14ac:dyDescent="0.25">
      <c r="A14" t="s">
        <v>24</v>
      </c>
      <c r="B14" s="3">
        <v>5203559</v>
      </c>
      <c r="C14">
        <v>10120</v>
      </c>
      <c r="D14">
        <v>17076.04</v>
      </c>
      <c r="E14">
        <v>1010773.37</v>
      </c>
      <c r="F14">
        <v>4</v>
      </c>
      <c r="G14">
        <v>0.39525691699604742</v>
      </c>
      <c r="H14">
        <v>121138000</v>
      </c>
      <c r="I14">
        <v>11970.16</v>
      </c>
      <c r="J14">
        <v>2023</v>
      </c>
      <c r="K14">
        <v>2021</v>
      </c>
      <c r="L14">
        <v>13240739.76</v>
      </c>
      <c r="M14">
        <f t="shared" si="0"/>
        <v>1308.3734940711463</v>
      </c>
    </row>
    <row r="15" spans="1:13" x14ac:dyDescent="0.25">
      <c r="A15" t="s">
        <v>25</v>
      </c>
      <c r="B15" s="3">
        <v>5203575</v>
      </c>
      <c r="C15">
        <v>4579</v>
      </c>
      <c r="D15">
        <v>41648.75</v>
      </c>
      <c r="E15">
        <v>8579588.0899999999</v>
      </c>
      <c r="F15">
        <v>1</v>
      </c>
      <c r="G15">
        <v>0.2183882943874208</v>
      </c>
      <c r="H15">
        <v>156630000</v>
      </c>
      <c r="I15">
        <v>34206.160000000003</v>
      </c>
      <c r="J15">
        <v>2023</v>
      </c>
      <c r="K15">
        <v>2021</v>
      </c>
      <c r="L15">
        <v>11009531.24</v>
      </c>
      <c r="M15">
        <f t="shared" si="0"/>
        <v>2404.3527495086264</v>
      </c>
    </row>
    <row r="16" spans="1:13" x14ac:dyDescent="0.25">
      <c r="A16" t="s">
        <v>26</v>
      </c>
      <c r="B16" s="3">
        <v>5203609</v>
      </c>
      <c r="C16">
        <v>3812</v>
      </c>
      <c r="D16">
        <v>37359.11</v>
      </c>
      <c r="E16">
        <v>3797593.26</v>
      </c>
      <c r="F16">
        <v>3</v>
      </c>
      <c r="G16">
        <v>0.78698845750262336</v>
      </c>
      <c r="H16">
        <v>93833000</v>
      </c>
      <c r="I16">
        <v>24615.16</v>
      </c>
      <c r="J16">
        <v>2023</v>
      </c>
      <c r="K16">
        <v>2021</v>
      </c>
      <c r="L16">
        <v>10984281.66</v>
      </c>
      <c r="M16">
        <f t="shared" si="0"/>
        <v>2881.500960125918</v>
      </c>
    </row>
    <row r="17" spans="1:13" x14ac:dyDescent="0.25">
      <c r="A17" t="s">
        <v>27</v>
      </c>
      <c r="B17" s="3">
        <v>5203807</v>
      </c>
      <c r="C17">
        <v>5815</v>
      </c>
      <c r="D17">
        <v>3689.65</v>
      </c>
      <c r="E17">
        <v>881157.63</v>
      </c>
      <c r="F17">
        <v>1</v>
      </c>
      <c r="G17">
        <v>0.1719690455717971</v>
      </c>
      <c r="H17">
        <v>198101000</v>
      </c>
      <c r="I17">
        <v>34067.24</v>
      </c>
      <c r="J17">
        <v>2023</v>
      </c>
      <c r="K17">
        <v>2021</v>
      </c>
      <c r="L17">
        <v>12707025.92</v>
      </c>
      <c r="M17">
        <f t="shared" si="0"/>
        <v>2185.2151195184865</v>
      </c>
    </row>
    <row r="18" spans="1:13" x14ac:dyDescent="0.25">
      <c r="A18" t="s">
        <v>28</v>
      </c>
      <c r="B18" s="3">
        <v>5204003</v>
      </c>
      <c r="C18">
        <v>8098</v>
      </c>
      <c r="D18">
        <v>876424.5</v>
      </c>
      <c r="E18">
        <v>13899855.02</v>
      </c>
      <c r="F18">
        <v>2</v>
      </c>
      <c r="G18">
        <v>0.2469745616201531</v>
      </c>
      <c r="H18">
        <v>475939000</v>
      </c>
      <c r="I18">
        <v>58772.41</v>
      </c>
      <c r="J18">
        <v>2023</v>
      </c>
      <c r="K18">
        <v>2021</v>
      </c>
      <c r="L18">
        <v>10950561.5</v>
      </c>
      <c r="M18">
        <f t="shared" si="0"/>
        <v>1352.2550629785133</v>
      </c>
    </row>
    <row r="19" spans="1:13" x14ac:dyDescent="0.25">
      <c r="A19" t="s">
        <v>29</v>
      </c>
      <c r="B19" s="3">
        <v>5204250</v>
      </c>
      <c r="C19">
        <v>7997</v>
      </c>
      <c r="D19">
        <v>223864.3</v>
      </c>
      <c r="E19">
        <v>25843423.140000001</v>
      </c>
      <c r="F19">
        <v>1</v>
      </c>
      <c r="G19">
        <v>0.12504689258471929</v>
      </c>
      <c r="H19">
        <v>69455000</v>
      </c>
      <c r="I19">
        <v>8685.1299999999992</v>
      </c>
      <c r="J19">
        <v>2023</v>
      </c>
      <c r="K19">
        <v>2021</v>
      </c>
      <c r="L19">
        <v>46300435.229999997</v>
      </c>
      <c r="M19">
        <f t="shared" si="0"/>
        <v>5789.7255508315611</v>
      </c>
    </row>
    <row r="20" spans="1:13" x14ac:dyDescent="0.25">
      <c r="A20" t="s">
        <v>30</v>
      </c>
      <c r="B20" s="3">
        <v>5204508</v>
      </c>
      <c r="C20">
        <v>95183</v>
      </c>
      <c r="D20">
        <v>629337.25</v>
      </c>
      <c r="E20">
        <v>35190725.310000002</v>
      </c>
      <c r="F20">
        <v>24</v>
      </c>
      <c r="G20">
        <v>0.25214586638370301</v>
      </c>
      <c r="H20">
        <v>3000886000</v>
      </c>
      <c r="I20">
        <v>31527.54</v>
      </c>
      <c r="J20">
        <v>2023</v>
      </c>
      <c r="K20">
        <v>2021</v>
      </c>
      <c r="L20">
        <v>381795998.52999997</v>
      </c>
      <c r="M20">
        <f t="shared" si="0"/>
        <v>4011.1784512990762</v>
      </c>
    </row>
    <row r="21" spans="1:13" x14ac:dyDescent="0.25">
      <c r="A21" t="s">
        <v>31</v>
      </c>
      <c r="B21" s="3">
        <v>5204557</v>
      </c>
      <c r="C21">
        <v>3900</v>
      </c>
      <c r="D21">
        <v>47361.31</v>
      </c>
      <c r="E21">
        <v>4734179.17</v>
      </c>
      <c r="F21">
        <v>2</v>
      </c>
      <c r="G21">
        <v>0.51282051282051277</v>
      </c>
      <c r="H21">
        <v>84638000</v>
      </c>
      <c r="I21">
        <v>21702.05</v>
      </c>
      <c r="J21">
        <v>2023</v>
      </c>
      <c r="K21">
        <v>2021</v>
      </c>
      <c r="L21">
        <v>4657086.1099999994</v>
      </c>
      <c r="M21">
        <f t="shared" si="0"/>
        <v>1194.1246435897435</v>
      </c>
    </row>
    <row r="22" spans="1:13" x14ac:dyDescent="0.25">
      <c r="A22" t="s">
        <v>32</v>
      </c>
      <c r="B22" s="3">
        <v>5204607</v>
      </c>
      <c r="C22">
        <v>3662</v>
      </c>
      <c r="D22">
        <v>37798.720000000001</v>
      </c>
      <c r="E22">
        <v>5281455.49</v>
      </c>
      <c r="F22">
        <v>1</v>
      </c>
      <c r="G22">
        <v>0.27307482250136528</v>
      </c>
      <c r="H22">
        <v>72737000</v>
      </c>
      <c r="I22">
        <v>19862.64</v>
      </c>
      <c r="J22">
        <v>2023</v>
      </c>
      <c r="K22">
        <v>2021</v>
      </c>
      <c r="L22">
        <v>2493775.12</v>
      </c>
      <c r="M22">
        <f t="shared" si="0"/>
        <v>680.98719825232115</v>
      </c>
    </row>
    <row r="23" spans="1:13" x14ac:dyDescent="0.25">
      <c r="A23" t="s">
        <v>33</v>
      </c>
      <c r="B23" s="3">
        <v>5204706</v>
      </c>
      <c r="C23">
        <v>12880</v>
      </c>
      <c r="D23">
        <v>161846.51</v>
      </c>
      <c r="E23">
        <v>2426717.7200000002</v>
      </c>
      <c r="F23">
        <v>4</v>
      </c>
      <c r="G23">
        <v>0.31055900621118021</v>
      </c>
      <c r="H23">
        <v>333013000</v>
      </c>
      <c r="I23">
        <v>25855.05</v>
      </c>
      <c r="J23">
        <v>2023</v>
      </c>
      <c r="K23">
        <v>2021</v>
      </c>
      <c r="L23">
        <v>24905310.239999998</v>
      </c>
      <c r="M23">
        <f t="shared" si="0"/>
        <v>1933.6420993788818</v>
      </c>
    </row>
    <row r="24" spans="1:13" x14ac:dyDescent="0.25">
      <c r="A24" t="s">
        <v>34</v>
      </c>
      <c r="B24" s="3">
        <v>5204805</v>
      </c>
      <c r="C24">
        <v>7884</v>
      </c>
      <c r="D24">
        <v>82897.460000000006</v>
      </c>
      <c r="E24">
        <v>20214699.140000001</v>
      </c>
      <c r="F24">
        <v>3</v>
      </c>
      <c r="G24">
        <v>0.38051750380517502</v>
      </c>
      <c r="H24">
        <v>846728000</v>
      </c>
      <c r="I24">
        <v>107398.27</v>
      </c>
      <c r="J24">
        <v>2023</v>
      </c>
      <c r="K24">
        <v>2021</v>
      </c>
      <c r="L24">
        <v>37729026.530000001</v>
      </c>
      <c r="M24">
        <f t="shared" si="0"/>
        <v>4785.5183320649421</v>
      </c>
    </row>
    <row r="25" spans="1:13" x14ac:dyDescent="0.25">
      <c r="A25" t="s">
        <v>35</v>
      </c>
      <c r="B25" s="3">
        <v>5204953</v>
      </c>
      <c r="C25">
        <v>1526</v>
      </c>
      <c r="D25">
        <v>7986.64</v>
      </c>
      <c r="E25">
        <v>4599120.45</v>
      </c>
      <c r="F25">
        <v>4</v>
      </c>
      <c r="G25">
        <v>2.6212319790301439</v>
      </c>
      <c r="H25">
        <v>56347000</v>
      </c>
      <c r="I25">
        <v>36924.639999999999</v>
      </c>
      <c r="J25">
        <v>2023</v>
      </c>
      <c r="K25">
        <v>2021</v>
      </c>
      <c r="L25">
        <v>5456066.29</v>
      </c>
      <c r="M25">
        <f t="shared" si="0"/>
        <v>3575.4038597640892</v>
      </c>
    </row>
    <row r="26" spans="1:13" x14ac:dyDescent="0.25">
      <c r="A26" t="s">
        <v>36</v>
      </c>
      <c r="B26" s="3">
        <v>5205000</v>
      </c>
      <c r="C26">
        <v>10299</v>
      </c>
      <c r="D26">
        <v>15296.13</v>
      </c>
      <c r="E26">
        <v>11964034.380000001</v>
      </c>
      <c r="F26">
        <v>4</v>
      </c>
      <c r="G26">
        <v>0.38838722206039422</v>
      </c>
      <c r="H26">
        <v>488084000</v>
      </c>
      <c r="I26">
        <v>47391.4</v>
      </c>
      <c r="J26">
        <v>2023</v>
      </c>
      <c r="K26">
        <v>2021</v>
      </c>
      <c r="L26">
        <v>5978214.3700000001</v>
      </c>
      <c r="M26">
        <f t="shared" si="0"/>
        <v>580.46551801145745</v>
      </c>
    </row>
    <row r="27" spans="1:13" x14ac:dyDescent="0.25">
      <c r="A27" t="s">
        <v>37</v>
      </c>
      <c r="B27" s="3">
        <v>5205059</v>
      </c>
      <c r="C27">
        <v>3380</v>
      </c>
      <c r="D27">
        <v>46122.94</v>
      </c>
      <c r="E27">
        <v>6199643.1100000003</v>
      </c>
      <c r="F27">
        <v>1</v>
      </c>
      <c r="G27">
        <v>0.29585798816568049</v>
      </c>
      <c r="H27">
        <v>91614000</v>
      </c>
      <c r="I27">
        <v>27104.73</v>
      </c>
      <c r="J27">
        <v>2023</v>
      </c>
      <c r="K27">
        <v>2021</v>
      </c>
      <c r="L27">
        <v>6160056.8799999999</v>
      </c>
      <c r="M27">
        <f t="shared" si="0"/>
        <v>1822.5020355029585</v>
      </c>
    </row>
    <row r="28" spans="1:13" x14ac:dyDescent="0.25">
      <c r="A28" t="s">
        <v>38</v>
      </c>
      <c r="B28" s="3">
        <v>5205109</v>
      </c>
      <c r="C28">
        <v>113091</v>
      </c>
      <c r="D28">
        <v>10164878.119999999</v>
      </c>
      <c r="E28">
        <v>170474098.41999999</v>
      </c>
      <c r="F28">
        <v>26</v>
      </c>
      <c r="G28">
        <v>0.22990335216772331</v>
      </c>
      <c r="H28">
        <v>9916468000</v>
      </c>
      <c r="I28">
        <v>87685.74</v>
      </c>
      <c r="J28">
        <v>2023</v>
      </c>
      <c r="K28">
        <v>2021</v>
      </c>
      <c r="L28">
        <v>452090103.31999999</v>
      </c>
      <c r="M28">
        <f t="shared" si="0"/>
        <v>3997.5780859661686</v>
      </c>
    </row>
    <row r="29" spans="1:13" x14ac:dyDescent="0.25">
      <c r="A29" t="s">
        <v>39</v>
      </c>
      <c r="B29" s="3">
        <v>5205208</v>
      </c>
      <c r="C29">
        <v>5132</v>
      </c>
      <c r="D29">
        <v>46489.93</v>
      </c>
      <c r="E29">
        <v>4321810.6100000003</v>
      </c>
      <c r="F29">
        <v>3</v>
      </c>
      <c r="G29">
        <v>0.58456742010911933</v>
      </c>
      <c r="H29">
        <v>100768000</v>
      </c>
      <c r="I29">
        <v>19635.23</v>
      </c>
      <c r="J29">
        <v>2023</v>
      </c>
      <c r="K29">
        <v>2021</v>
      </c>
      <c r="L29">
        <v>4178368.34</v>
      </c>
      <c r="M29">
        <f t="shared" si="0"/>
        <v>814.179333593141</v>
      </c>
    </row>
    <row r="30" spans="1:13" x14ac:dyDescent="0.25">
      <c r="A30" t="s">
        <v>40</v>
      </c>
      <c r="B30" s="3">
        <v>5204300</v>
      </c>
      <c r="C30">
        <v>16525</v>
      </c>
      <c r="D30">
        <v>353914.39</v>
      </c>
      <c r="E30">
        <v>27433599.5</v>
      </c>
      <c r="F30">
        <v>2</v>
      </c>
      <c r="G30">
        <v>0.1210287443267776</v>
      </c>
      <c r="H30">
        <v>904592000</v>
      </c>
      <c r="I30">
        <v>54740.82</v>
      </c>
      <c r="J30">
        <v>2023</v>
      </c>
      <c r="K30">
        <v>2021</v>
      </c>
      <c r="L30">
        <v>43759804.109999999</v>
      </c>
      <c r="M30">
        <f t="shared" si="0"/>
        <v>2648.0970717095311</v>
      </c>
    </row>
    <row r="31" spans="1:13" x14ac:dyDescent="0.25">
      <c r="A31" t="s">
        <v>41</v>
      </c>
      <c r="B31" s="3">
        <v>5205406</v>
      </c>
      <c r="C31">
        <v>22407</v>
      </c>
      <c r="D31">
        <v>1424580.68</v>
      </c>
      <c r="E31">
        <v>11122015.210000001</v>
      </c>
      <c r="F31">
        <v>5</v>
      </c>
      <c r="G31">
        <v>0.22314455304146019</v>
      </c>
      <c r="H31">
        <v>734660000</v>
      </c>
      <c r="I31">
        <v>32787.08</v>
      </c>
      <c r="J31">
        <v>2023</v>
      </c>
      <c r="K31">
        <v>2021</v>
      </c>
      <c r="L31">
        <v>56304224.32</v>
      </c>
      <c r="M31">
        <f t="shared" si="0"/>
        <v>2512.7961940465034</v>
      </c>
    </row>
    <row r="32" spans="1:13" x14ac:dyDescent="0.25">
      <c r="A32" t="s">
        <v>42</v>
      </c>
      <c r="B32" s="3">
        <v>5205471</v>
      </c>
      <c r="C32">
        <v>10797</v>
      </c>
      <c r="D32">
        <v>1237989.0900000001</v>
      </c>
      <c r="E32">
        <v>67643238.409999996</v>
      </c>
      <c r="F32">
        <v>7</v>
      </c>
      <c r="G32">
        <v>0.64832823932573858</v>
      </c>
      <c r="H32">
        <v>2188716000</v>
      </c>
      <c r="I32">
        <v>202715.2</v>
      </c>
      <c r="J32">
        <v>2023</v>
      </c>
      <c r="K32">
        <v>2021</v>
      </c>
      <c r="L32">
        <v>97278012.50999999</v>
      </c>
      <c r="M32">
        <f t="shared" si="0"/>
        <v>9009.726082245068</v>
      </c>
    </row>
    <row r="33" spans="1:13" x14ac:dyDescent="0.25">
      <c r="A33" t="s">
        <v>43</v>
      </c>
      <c r="B33" s="3">
        <v>5205497</v>
      </c>
      <c r="C33">
        <v>74370</v>
      </c>
      <c r="D33">
        <v>4864828.2699999996</v>
      </c>
      <c r="E33">
        <v>14341517.619999999</v>
      </c>
      <c r="F33">
        <v>16</v>
      </c>
      <c r="G33">
        <v>0.21514051364797629</v>
      </c>
      <c r="H33">
        <v>1006150000</v>
      </c>
      <c r="I33">
        <v>13528.98</v>
      </c>
      <c r="J33">
        <v>2023</v>
      </c>
      <c r="K33">
        <v>2021</v>
      </c>
      <c r="L33">
        <v>138996256.61000001</v>
      </c>
      <c r="M33">
        <f t="shared" si="0"/>
        <v>1868.9828776388331</v>
      </c>
    </row>
    <row r="34" spans="1:13" x14ac:dyDescent="0.25">
      <c r="A34" t="s">
        <v>44</v>
      </c>
      <c r="B34" s="3">
        <v>5205513</v>
      </c>
      <c r="C34">
        <v>20771</v>
      </c>
      <c r="D34">
        <v>241460.37</v>
      </c>
      <c r="E34">
        <v>10591535.48</v>
      </c>
      <c r="F34">
        <v>4</v>
      </c>
      <c r="G34">
        <v>0.19257618795435949</v>
      </c>
      <c r="H34">
        <v>436319000</v>
      </c>
      <c r="I34">
        <v>21006.16</v>
      </c>
      <c r="J34">
        <v>2023</v>
      </c>
      <c r="K34">
        <v>2021</v>
      </c>
      <c r="L34">
        <v>38588287.920000002</v>
      </c>
      <c r="M34">
        <f t="shared" si="0"/>
        <v>1857.7963468297146</v>
      </c>
    </row>
    <row r="35" spans="1:13" x14ac:dyDescent="0.25">
      <c r="A35" t="s">
        <v>45</v>
      </c>
      <c r="B35" s="3">
        <v>5205901</v>
      </c>
      <c r="C35">
        <v>10012</v>
      </c>
      <c r="D35">
        <v>22113.1</v>
      </c>
      <c r="E35">
        <v>25111514.91</v>
      </c>
      <c r="F35">
        <v>4</v>
      </c>
      <c r="G35">
        <v>0.39952057530962842</v>
      </c>
      <c r="H35">
        <v>709241000</v>
      </c>
      <c r="I35">
        <v>70839.09</v>
      </c>
      <c r="J35">
        <v>2023</v>
      </c>
      <c r="K35">
        <v>2021</v>
      </c>
      <c r="L35">
        <v>16398186.09</v>
      </c>
      <c r="M35">
        <f t="shared" si="0"/>
        <v>1637.8531851777866</v>
      </c>
    </row>
    <row r="36" spans="1:13" x14ac:dyDescent="0.25">
      <c r="A36" t="s">
        <v>46</v>
      </c>
      <c r="B36" s="3">
        <v>5206206</v>
      </c>
      <c r="C36">
        <v>61385</v>
      </c>
      <c r="D36">
        <v>951593.21</v>
      </c>
      <c r="E36">
        <v>100084934.39</v>
      </c>
      <c r="F36">
        <v>20</v>
      </c>
      <c r="G36">
        <v>0.32581249490917968</v>
      </c>
      <c r="H36">
        <v>4602318000</v>
      </c>
      <c r="I36">
        <v>74974.64</v>
      </c>
      <c r="J36">
        <v>2023</v>
      </c>
      <c r="K36">
        <v>2021</v>
      </c>
      <c r="L36">
        <v>188263958.02000001</v>
      </c>
      <c r="M36">
        <f t="shared" si="0"/>
        <v>3066.9374931986645</v>
      </c>
    </row>
    <row r="37" spans="1:13" x14ac:dyDescent="0.25">
      <c r="A37" t="s">
        <v>47</v>
      </c>
      <c r="B37" s="3">
        <v>5206305</v>
      </c>
      <c r="C37">
        <v>2962</v>
      </c>
      <c r="D37">
        <v>26411.53</v>
      </c>
      <c r="E37">
        <v>5081863.7300000004</v>
      </c>
      <c r="F37">
        <v>1</v>
      </c>
      <c r="G37">
        <v>0.33760972316002702</v>
      </c>
      <c r="H37">
        <v>120103000</v>
      </c>
      <c r="I37">
        <v>40547.94</v>
      </c>
      <c r="J37">
        <v>2023</v>
      </c>
      <c r="K37">
        <v>2021</v>
      </c>
      <c r="L37">
        <v>9552306.5399999991</v>
      </c>
      <c r="M37">
        <f t="shared" si="0"/>
        <v>3224.9515665091153</v>
      </c>
    </row>
    <row r="38" spans="1:13" x14ac:dyDescent="0.25">
      <c r="A38" t="s">
        <v>48</v>
      </c>
      <c r="B38" s="3">
        <v>5206404</v>
      </c>
      <c r="C38">
        <v>17136</v>
      </c>
      <c r="D38">
        <v>1045555.12</v>
      </c>
      <c r="E38">
        <v>32236680.149999999</v>
      </c>
      <c r="F38">
        <v>10</v>
      </c>
      <c r="G38">
        <v>0.58356676003734831</v>
      </c>
      <c r="H38">
        <v>699319000</v>
      </c>
      <c r="I38">
        <v>40809.93</v>
      </c>
      <c r="J38">
        <v>2023</v>
      </c>
      <c r="K38">
        <v>2021</v>
      </c>
      <c r="L38">
        <v>89182666.210000008</v>
      </c>
      <c r="M38">
        <f t="shared" si="0"/>
        <v>5204.4039571662006</v>
      </c>
    </row>
    <row r="39" spans="1:13" x14ac:dyDescent="0.25">
      <c r="A39" t="s">
        <v>49</v>
      </c>
      <c r="B39" s="3">
        <v>5206800</v>
      </c>
      <c r="C39">
        <v>2944</v>
      </c>
      <c r="D39">
        <v>46543.62</v>
      </c>
      <c r="E39">
        <v>4547392</v>
      </c>
      <c r="F39">
        <v>1</v>
      </c>
      <c r="G39">
        <v>0.33967391304347833</v>
      </c>
      <c r="H39">
        <v>52496000</v>
      </c>
      <c r="I39">
        <v>17831.52</v>
      </c>
      <c r="J39">
        <v>2023</v>
      </c>
      <c r="K39">
        <v>2021</v>
      </c>
      <c r="L39">
        <v>4190789.28</v>
      </c>
      <c r="M39">
        <f t="shared" si="0"/>
        <v>1423.5017934782609</v>
      </c>
    </row>
    <row r="40" spans="1:13" x14ac:dyDescent="0.25">
      <c r="A40" t="s">
        <v>50</v>
      </c>
      <c r="B40" s="3">
        <v>5207253</v>
      </c>
      <c r="C40">
        <v>7174</v>
      </c>
      <c r="D40">
        <v>57922.3</v>
      </c>
      <c r="E40">
        <v>11818529.74</v>
      </c>
      <c r="F40">
        <v>4</v>
      </c>
      <c r="G40">
        <v>0.55756899916364655</v>
      </c>
      <c r="H40">
        <v>400869000</v>
      </c>
      <c r="I40">
        <v>55878.03</v>
      </c>
      <c r="J40">
        <v>2023</v>
      </c>
      <c r="K40">
        <v>2021</v>
      </c>
      <c r="L40">
        <v>13353495.74</v>
      </c>
      <c r="M40">
        <f t="shared" si="0"/>
        <v>1861.3738137719542</v>
      </c>
    </row>
    <row r="41" spans="1:13" x14ac:dyDescent="0.25">
      <c r="A41" t="s">
        <v>51</v>
      </c>
      <c r="B41" s="3">
        <v>5207402</v>
      </c>
      <c r="C41">
        <v>12559</v>
      </c>
      <c r="D41">
        <v>515398.2</v>
      </c>
      <c r="E41">
        <v>34455109.340000004</v>
      </c>
      <c r="F41">
        <v>8</v>
      </c>
      <c r="G41">
        <v>0.63699339119356635</v>
      </c>
      <c r="H41">
        <v>923319000</v>
      </c>
      <c r="I41">
        <v>73518.509999999995</v>
      </c>
      <c r="J41">
        <v>2023</v>
      </c>
      <c r="K41">
        <v>2021</v>
      </c>
      <c r="L41">
        <v>41594528.109999999</v>
      </c>
      <c r="M41">
        <f t="shared" si="0"/>
        <v>3311.929939485628</v>
      </c>
    </row>
    <row r="42" spans="1:13" x14ac:dyDescent="0.25">
      <c r="A42" t="s">
        <v>52</v>
      </c>
      <c r="B42" s="3">
        <v>5207600</v>
      </c>
      <c r="C42">
        <v>5471</v>
      </c>
      <c r="D42">
        <v>2730.56</v>
      </c>
      <c r="E42">
        <v>7257423.8200000003</v>
      </c>
      <c r="F42">
        <v>4</v>
      </c>
      <c r="G42">
        <v>0.7311277645768598</v>
      </c>
      <c r="H42">
        <v>152399000</v>
      </c>
      <c r="I42">
        <v>27855.79</v>
      </c>
      <c r="J42">
        <v>2023</v>
      </c>
      <c r="K42">
        <v>2021</v>
      </c>
      <c r="L42">
        <v>7624397.9199999999</v>
      </c>
      <c r="M42">
        <f t="shared" si="0"/>
        <v>1393.6022518735149</v>
      </c>
    </row>
    <row r="43" spans="1:13" x14ac:dyDescent="0.25">
      <c r="A43" t="s">
        <v>53</v>
      </c>
      <c r="B43" s="3">
        <v>5207808</v>
      </c>
      <c r="C43">
        <v>13604</v>
      </c>
      <c r="D43">
        <v>16583.490000000002</v>
      </c>
      <c r="E43">
        <v>7868568.8200000003</v>
      </c>
      <c r="F43">
        <v>2</v>
      </c>
      <c r="G43">
        <v>0.14701558365186709</v>
      </c>
      <c r="H43">
        <v>272114000</v>
      </c>
      <c r="I43">
        <v>20002.5</v>
      </c>
      <c r="J43">
        <v>2023</v>
      </c>
      <c r="K43">
        <v>2021</v>
      </c>
      <c r="L43">
        <v>13862287.060000001</v>
      </c>
      <c r="M43">
        <f t="shared" si="0"/>
        <v>1018.9861114378125</v>
      </c>
    </row>
    <row r="44" spans="1:13" x14ac:dyDescent="0.25">
      <c r="A44" t="s">
        <v>54</v>
      </c>
      <c r="B44" s="3">
        <v>5207907</v>
      </c>
      <c r="C44">
        <v>17415</v>
      </c>
      <c r="D44">
        <v>9232.7900000000009</v>
      </c>
      <c r="E44">
        <v>8542676.8399999999</v>
      </c>
      <c r="F44">
        <v>7</v>
      </c>
      <c r="G44">
        <v>0.4019523399368361</v>
      </c>
      <c r="H44">
        <v>250936000</v>
      </c>
      <c r="I44">
        <v>14409.19</v>
      </c>
      <c r="J44">
        <v>2023</v>
      </c>
      <c r="K44">
        <v>2021</v>
      </c>
      <c r="L44">
        <v>17807945.190000001</v>
      </c>
      <c r="M44">
        <f t="shared" si="0"/>
        <v>1022.5636055124893</v>
      </c>
    </row>
    <row r="45" spans="1:13" x14ac:dyDescent="0.25">
      <c r="A45" t="s">
        <v>55</v>
      </c>
      <c r="B45" s="3">
        <v>5208004</v>
      </c>
      <c r="C45">
        <v>125705</v>
      </c>
      <c r="D45">
        <v>8748902.5500000007</v>
      </c>
      <c r="E45">
        <v>61075657.329999998</v>
      </c>
      <c r="F45">
        <v>30</v>
      </c>
      <c r="G45">
        <v>0.23865399148800759</v>
      </c>
      <c r="H45">
        <v>3247792000</v>
      </c>
      <c r="I45">
        <v>25836.62</v>
      </c>
      <c r="J45">
        <v>2023</v>
      </c>
      <c r="K45">
        <v>2021</v>
      </c>
      <c r="L45">
        <v>295628985.14999998</v>
      </c>
      <c r="M45">
        <f t="shared" si="0"/>
        <v>2351.7679101865479</v>
      </c>
    </row>
    <row r="46" spans="1:13" x14ac:dyDescent="0.25">
      <c r="A46" t="s">
        <v>56</v>
      </c>
      <c r="B46" s="3">
        <v>5208806</v>
      </c>
      <c r="C46">
        <v>46278</v>
      </c>
      <c r="D46">
        <v>433575.91</v>
      </c>
      <c r="E46">
        <v>18934675.600000001</v>
      </c>
      <c r="F46">
        <v>15</v>
      </c>
      <c r="G46">
        <v>0.32412809542331128</v>
      </c>
      <c r="H46">
        <v>1102687000</v>
      </c>
      <c r="I46">
        <v>23827.46</v>
      </c>
      <c r="J46">
        <v>2023</v>
      </c>
      <c r="K46">
        <v>2021</v>
      </c>
      <c r="L46">
        <v>114624969.76000001</v>
      </c>
      <c r="M46">
        <f t="shared" si="0"/>
        <v>2476.8782090842301</v>
      </c>
    </row>
    <row r="47" spans="1:13" x14ac:dyDescent="0.25">
      <c r="A47" t="s">
        <v>57</v>
      </c>
      <c r="B47" s="3">
        <v>5208400</v>
      </c>
      <c r="C47">
        <v>11217</v>
      </c>
      <c r="D47">
        <v>146807</v>
      </c>
      <c r="E47">
        <v>12092532.49</v>
      </c>
      <c r="F47">
        <v>5</v>
      </c>
      <c r="G47">
        <v>0.44575198359632701</v>
      </c>
      <c r="H47">
        <v>294381000</v>
      </c>
      <c r="I47">
        <v>26244.18</v>
      </c>
      <c r="J47">
        <v>2023</v>
      </c>
      <c r="K47">
        <v>2021</v>
      </c>
      <c r="L47">
        <v>25771008.66</v>
      </c>
      <c r="M47">
        <f t="shared" si="0"/>
        <v>2297.4956458946244</v>
      </c>
    </row>
    <row r="48" spans="1:13" x14ac:dyDescent="0.25">
      <c r="A48" t="s">
        <v>58</v>
      </c>
      <c r="B48" s="3">
        <v>5208608</v>
      </c>
      <c r="C48">
        <v>72045</v>
      </c>
      <c r="D48">
        <v>714092.59</v>
      </c>
      <c r="E48">
        <v>41536093.689999998</v>
      </c>
      <c r="F48">
        <v>23</v>
      </c>
      <c r="G48">
        <v>0.3192449163717121</v>
      </c>
      <c r="H48">
        <v>1888263000</v>
      </c>
      <c r="I48">
        <v>26209.49</v>
      </c>
      <c r="J48">
        <v>2023</v>
      </c>
      <c r="K48">
        <v>2021</v>
      </c>
      <c r="L48">
        <v>185532685.56</v>
      </c>
      <c r="M48">
        <f t="shared" si="0"/>
        <v>2575.2333341661461</v>
      </c>
    </row>
    <row r="49" spans="1:13" x14ac:dyDescent="0.25">
      <c r="A49" t="s">
        <v>59</v>
      </c>
      <c r="B49" s="3">
        <v>5209101</v>
      </c>
      <c r="C49">
        <v>34307</v>
      </c>
      <c r="D49">
        <v>588447.4</v>
      </c>
      <c r="E49">
        <v>52455877.609999999</v>
      </c>
      <c r="F49">
        <v>4</v>
      </c>
      <c r="G49">
        <v>0.1165942810505145</v>
      </c>
      <c r="H49">
        <v>2169433000</v>
      </c>
      <c r="I49">
        <v>63235.87</v>
      </c>
      <c r="J49">
        <v>2023</v>
      </c>
      <c r="K49">
        <v>2021</v>
      </c>
      <c r="L49">
        <v>159181251.47999999</v>
      </c>
      <c r="M49">
        <f t="shared" si="0"/>
        <v>4639.9058932579355</v>
      </c>
    </row>
    <row r="50" spans="1:13" x14ac:dyDescent="0.25">
      <c r="A50" t="s">
        <v>60</v>
      </c>
      <c r="B50" s="3">
        <v>5208905</v>
      </c>
      <c r="C50">
        <v>22122</v>
      </c>
      <c r="D50">
        <v>258883.89</v>
      </c>
      <c r="E50">
        <v>14708820.25</v>
      </c>
      <c r="F50">
        <v>4</v>
      </c>
      <c r="G50">
        <v>0.18081547780490009</v>
      </c>
      <c r="H50">
        <v>763707000</v>
      </c>
      <c r="I50">
        <v>34522.51</v>
      </c>
      <c r="J50">
        <v>2023</v>
      </c>
      <c r="K50">
        <v>2021</v>
      </c>
      <c r="L50">
        <v>44816477.789999999</v>
      </c>
      <c r="M50">
        <f t="shared" si="0"/>
        <v>2025.8782112828858</v>
      </c>
    </row>
    <row r="51" spans="1:13" x14ac:dyDescent="0.25">
      <c r="A51" t="s">
        <v>61</v>
      </c>
      <c r="B51" s="3">
        <v>5208707</v>
      </c>
      <c r="C51">
        <v>1555626</v>
      </c>
      <c r="D51">
        <v>1609873.1</v>
      </c>
      <c r="E51">
        <v>805175191.61000001</v>
      </c>
      <c r="F51">
        <v>262</v>
      </c>
      <c r="G51">
        <v>0.1684209443658051</v>
      </c>
      <c r="H51">
        <v>59865990000</v>
      </c>
      <c r="I51">
        <v>38483.54</v>
      </c>
      <c r="J51">
        <v>2023</v>
      </c>
      <c r="K51">
        <v>2021</v>
      </c>
      <c r="L51">
        <v>10757433178.25</v>
      </c>
      <c r="M51">
        <f t="shared" si="0"/>
        <v>6915.179598598892</v>
      </c>
    </row>
    <row r="52" spans="1:13" x14ac:dyDescent="0.25">
      <c r="A52" t="s">
        <v>62</v>
      </c>
      <c r="B52" s="3">
        <v>5209952</v>
      </c>
      <c r="C52">
        <v>15962</v>
      </c>
      <c r="D52">
        <v>281310.96000000002</v>
      </c>
      <c r="E52">
        <v>16911937.309999999</v>
      </c>
      <c r="F52">
        <v>4</v>
      </c>
      <c r="G52">
        <v>0.25059516351334421</v>
      </c>
      <c r="H52">
        <v>656300000</v>
      </c>
      <c r="I52">
        <v>41116.400000000001</v>
      </c>
      <c r="J52">
        <v>2023</v>
      </c>
      <c r="K52">
        <v>2021</v>
      </c>
      <c r="L52">
        <v>33467010.710000001</v>
      </c>
      <c r="M52">
        <f t="shared" si="0"/>
        <v>2096.6677552938227</v>
      </c>
    </row>
    <row r="53" spans="1:13" x14ac:dyDescent="0.25">
      <c r="A53" t="s">
        <v>63</v>
      </c>
      <c r="B53" s="3">
        <v>5210000</v>
      </c>
      <c r="C53">
        <v>53655</v>
      </c>
      <c r="D53">
        <v>732253.32</v>
      </c>
      <c r="E53">
        <v>22801707.82</v>
      </c>
      <c r="F53">
        <v>8</v>
      </c>
      <c r="G53">
        <v>0.1491007361848849</v>
      </c>
      <c r="H53">
        <v>1406216000</v>
      </c>
      <c r="I53">
        <v>26208.48</v>
      </c>
      <c r="J53">
        <v>2023</v>
      </c>
      <c r="K53">
        <v>2021</v>
      </c>
      <c r="L53">
        <v>116007660.39</v>
      </c>
      <c r="M53">
        <f t="shared" si="0"/>
        <v>2162.103445904389</v>
      </c>
    </row>
    <row r="54" spans="1:13" x14ac:dyDescent="0.25">
      <c r="A54" t="s">
        <v>64</v>
      </c>
      <c r="B54" s="3">
        <v>5210109</v>
      </c>
      <c r="C54">
        <v>27365</v>
      </c>
      <c r="D54">
        <v>447651.96</v>
      </c>
      <c r="E54">
        <v>56890099.079999998</v>
      </c>
      <c r="F54">
        <v>8</v>
      </c>
      <c r="G54">
        <v>0.29234423533710951</v>
      </c>
      <c r="H54">
        <v>2429403000</v>
      </c>
      <c r="I54">
        <v>88777.75</v>
      </c>
      <c r="J54">
        <v>2023</v>
      </c>
      <c r="K54">
        <v>2021</v>
      </c>
      <c r="L54">
        <v>93443994</v>
      </c>
      <c r="M54">
        <f t="shared" si="0"/>
        <v>3414.7266215969303</v>
      </c>
    </row>
    <row r="55" spans="1:13" x14ac:dyDescent="0.25">
      <c r="A55" t="s">
        <v>65</v>
      </c>
      <c r="B55" s="3">
        <v>5210208</v>
      </c>
      <c r="C55">
        <v>31471</v>
      </c>
      <c r="D55">
        <v>488493.25</v>
      </c>
      <c r="E55">
        <v>13486932.59</v>
      </c>
      <c r="F55">
        <v>1</v>
      </c>
      <c r="G55">
        <v>3.1775285183184523E-2</v>
      </c>
      <c r="H55">
        <v>876296000</v>
      </c>
      <c r="I55">
        <v>27844.560000000001</v>
      </c>
      <c r="J55">
        <v>2023</v>
      </c>
      <c r="K55">
        <v>2021</v>
      </c>
      <c r="L55">
        <v>77125395.400000006</v>
      </c>
      <c r="M55">
        <f t="shared" si="0"/>
        <v>2450.6814337008677</v>
      </c>
    </row>
    <row r="56" spans="1:13" x14ac:dyDescent="0.25">
      <c r="A56" t="s">
        <v>66</v>
      </c>
      <c r="B56" s="3">
        <v>5210406</v>
      </c>
      <c r="C56">
        <v>44329</v>
      </c>
      <c r="D56">
        <v>455711.35</v>
      </c>
      <c r="E56">
        <v>46122557.990000002</v>
      </c>
      <c r="F56">
        <v>6</v>
      </c>
      <c r="G56">
        <v>0.1353515757179273</v>
      </c>
      <c r="H56">
        <v>1804955000</v>
      </c>
      <c r="I56">
        <v>40717.25</v>
      </c>
      <c r="J56">
        <v>2023</v>
      </c>
      <c r="K56">
        <v>2021</v>
      </c>
      <c r="L56">
        <v>87956434.379999995</v>
      </c>
      <c r="M56">
        <f t="shared" si="0"/>
        <v>1984.1736646439124</v>
      </c>
    </row>
    <row r="57" spans="1:13" x14ac:dyDescent="0.25">
      <c r="A57" t="s">
        <v>67</v>
      </c>
      <c r="B57" s="3">
        <v>5210802</v>
      </c>
      <c r="C57">
        <v>4412</v>
      </c>
      <c r="D57">
        <v>21985.48</v>
      </c>
      <c r="E57">
        <v>8499140.1600000001</v>
      </c>
      <c r="F57">
        <v>1</v>
      </c>
      <c r="G57">
        <v>0.2266545784224841</v>
      </c>
      <c r="H57">
        <v>131496000</v>
      </c>
      <c r="I57">
        <v>29804.17</v>
      </c>
      <c r="J57">
        <v>2023</v>
      </c>
      <c r="K57">
        <v>2021</v>
      </c>
      <c r="L57">
        <v>9919378.7400000002</v>
      </c>
      <c r="M57">
        <f t="shared" si="0"/>
        <v>2248.272606527652</v>
      </c>
    </row>
    <row r="58" spans="1:13" x14ac:dyDescent="0.25">
      <c r="A58" t="s">
        <v>68</v>
      </c>
      <c r="B58" s="3">
        <v>5210901</v>
      </c>
      <c r="C58">
        <v>23850</v>
      </c>
      <c r="D58">
        <v>27311.56</v>
      </c>
      <c r="E58">
        <v>3373848.51</v>
      </c>
      <c r="F58">
        <v>9</v>
      </c>
      <c r="G58">
        <v>0.37735849056603771</v>
      </c>
      <c r="H58">
        <v>547546000</v>
      </c>
      <c r="I58">
        <v>22957.9</v>
      </c>
      <c r="J58">
        <v>2023</v>
      </c>
      <c r="K58">
        <v>2021</v>
      </c>
      <c r="L58">
        <v>37025600.979999997</v>
      </c>
      <c r="M58">
        <f t="shared" si="0"/>
        <v>1552.4360997903564</v>
      </c>
    </row>
    <row r="59" spans="1:13" x14ac:dyDescent="0.25">
      <c r="A59" t="s">
        <v>69</v>
      </c>
      <c r="B59" s="3">
        <v>5211008</v>
      </c>
      <c r="C59">
        <v>4380</v>
      </c>
      <c r="D59">
        <v>596181.03</v>
      </c>
      <c r="E59">
        <v>10162181.59</v>
      </c>
      <c r="F59">
        <v>2</v>
      </c>
      <c r="G59">
        <v>0.45662100456621002</v>
      </c>
      <c r="H59">
        <v>222269000</v>
      </c>
      <c r="I59">
        <v>50746.35</v>
      </c>
      <c r="J59">
        <v>2023</v>
      </c>
      <c r="K59">
        <v>2021</v>
      </c>
      <c r="L59">
        <v>14317946.630000001</v>
      </c>
      <c r="M59">
        <f t="shared" si="0"/>
        <v>3268.9375867579911</v>
      </c>
    </row>
    <row r="60" spans="1:13" x14ac:dyDescent="0.25">
      <c r="A60" t="s">
        <v>70</v>
      </c>
      <c r="B60" s="3">
        <v>5211206</v>
      </c>
      <c r="C60">
        <v>25597</v>
      </c>
      <c r="D60">
        <v>104709.2</v>
      </c>
      <c r="E60">
        <v>11398164.82</v>
      </c>
      <c r="F60">
        <v>2</v>
      </c>
      <c r="G60">
        <v>7.8134156346446854E-2</v>
      </c>
      <c r="H60">
        <v>553555000</v>
      </c>
      <c r="I60">
        <v>21625.78</v>
      </c>
      <c r="J60">
        <v>2023</v>
      </c>
      <c r="K60">
        <v>2021</v>
      </c>
      <c r="L60">
        <v>45221439.969999999</v>
      </c>
      <c r="M60">
        <f t="shared" si="0"/>
        <v>1766.6695304137204</v>
      </c>
    </row>
    <row r="61" spans="1:13" x14ac:dyDescent="0.25">
      <c r="A61" t="s">
        <v>71</v>
      </c>
      <c r="B61" s="3">
        <v>5211305</v>
      </c>
      <c r="C61">
        <v>7337</v>
      </c>
      <c r="D61">
        <v>115361.34</v>
      </c>
      <c r="E61">
        <v>14156242</v>
      </c>
      <c r="F61">
        <v>1</v>
      </c>
      <c r="G61">
        <v>0.13629548861932669</v>
      </c>
      <c r="H61">
        <v>324831000</v>
      </c>
      <c r="I61">
        <v>44273</v>
      </c>
      <c r="J61">
        <v>2023</v>
      </c>
      <c r="K61">
        <v>2021</v>
      </c>
      <c r="L61">
        <v>18519822.710000001</v>
      </c>
      <c r="M61">
        <f t="shared" si="0"/>
        <v>2524.1682854027531</v>
      </c>
    </row>
    <row r="62" spans="1:13" x14ac:dyDescent="0.25">
      <c r="A62" t="s">
        <v>72</v>
      </c>
      <c r="B62" s="3">
        <v>5211503</v>
      </c>
      <c r="C62">
        <v>106845</v>
      </c>
      <c r="D62">
        <v>1258125.8400000001</v>
      </c>
      <c r="E62">
        <v>113550894.8</v>
      </c>
      <c r="F62">
        <v>22</v>
      </c>
      <c r="G62">
        <v>0.2059057513220085</v>
      </c>
      <c r="H62">
        <v>5324330000</v>
      </c>
      <c r="I62">
        <v>49832.28</v>
      </c>
      <c r="J62">
        <v>2023</v>
      </c>
      <c r="K62">
        <v>2021</v>
      </c>
      <c r="L62">
        <v>404574745.88999999</v>
      </c>
      <c r="M62">
        <f t="shared" si="0"/>
        <v>3786.557591745051</v>
      </c>
    </row>
    <row r="63" spans="1:13" x14ac:dyDescent="0.25">
      <c r="A63" t="s">
        <v>73</v>
      </c>
      <c r="B63" s="3">
        <v>5211800</v>
      </c>
      <c r="C63">
        <v>52160</v>
      </c>
      <c r="D63">
        <v>138827.19</v>
      </c>
      <c r="E63">
        <v>15280736.210000001</v>
      </c>
      <c r="F63">
        <v>10</v>
      </c>
      <c r="G63">
        <v>0.19171779141104289</v>
      </c>
      <c r="H63">
        <v>919741000</v>
      </c>
      <c r="I63">
        <v>17633.07</v>
      </c>
      <c r="J63">
        <v>2023</v>
      </c>
      <c r="K63">
        <v>2021</v>
      </c>
      <c r="L63">
        <v>78711489.700000003</v>
      </c>
      <c r="M63">
        <f t="shared" si="0"/>
        <v>1509.0392963957056</v>
      </c>
    </row>
    <row r="64" spans="1:13" x14ac:dyDescent="0.25">
      <c r="A64" t="s">
        <v>74</v>
      </c>
      <c r="B64" s="3">
        <v>5211909</v>
      </c>
      <c r="C64">
        <v>103221</v>
      </c>
      <c r="D64">
        <v>15421161.369999999</v>
      </c>
      <c r="E64">
        <v>169853523.25999999</v>
      </c>
      <c r="F64">
        <v>37</v>
      </c>
      <c r="G64">
        <v>0.35845419052324617</v>
      </c>
      <c r="H64">
        <v>7996737000</v>
      </c>
      <c r="I64">
        <v>77472</v>
      </c>
      <c r="J64">
        <v>2023</v>
      </c>
      <c r="K64">
        <v>2021</v>
      </c>
      <c r="L64">
        <v>505491781.38</v>
      </c>
      <c r="M64">
        <f t="shared" si="0"/>
        <v>4897.1796570465312</v>
      </c>
    </row>
    <row r="65" spans="1:13" x14ac:dyDescent="0.25">
      <c r="A65" t="s">
        <v>75</v>
      </c>
      <c r="B65" s="3">
        <v>5212105</v>
      </c>
      <c r="C65">
        <v>7417</v>
      </c>
      <c r="D65">
        <v>57725.62</v>
      </c>
      <c r="E65">
        <v>9743472.8000000007</v>
      </c>
      <c r="F65">
        <v>1</v>
      </c>
      <c r="G65">
        <v>0.13482540110556829</v>
      </c>
      <c r="H65">
        <v>342128000</v>
      </c>
      <c r="I65">
        <v>46127.54</v>
      </c>
      <c r="J65">
        <v>2023</v>
      </c>
      <c r="K65">
        <v>2021</v>
      </c>
      <c r="L65">
        <v>19233300.640000001</v>
      </c>
      <c r="M65">
        <f t="shared" si="0"/>
        <v>2593.1374733719836</v>
      </c>
    </row>
    <row r="66" spans="1:13" x14ac:dyDescent="0.25">
      <c r="A66" t="s">
        <v>76</v>
      </c>
      <c r="B66" s="3">
        <v>5212204</v>
      </c>
      <c r="C66">
        <v>18266</v>
      </c>
      <c r="D66">
        <v>85733.51</v>
      </c>
      <c r="E66">
        <v>23052716.57</v>
      </c>
      <c r="F66">
        <v>5</v>
      </c>
      <c r="G66">
        <v>0.27373261797875842</v>
      </c>
      <c r="H66">
        <v>693476000</v>
      </c>
      <c r="I66">
        <v>37965.4</v>
      </c>
      <c r="J66">
        <v>2023</v>
      </c>
      <c r="K66">
        <v>2021</v>
      </c>
      <c r="L66">
        <v>83855076.670000002</v>
      </c>
      <c r="M66">
        <f t="shared" si="0"/>
        <v>4590.77393353772</v>
      </c>
    </row>
    <row r="67" spans="1:13" x14ac:dyDescent="0.25">
      <c r="A67" t="s">
        <v>77</v>
      </c>
      <c r="B67" s="3">
        <v>5212303</v>
      </c>
      <c r="C67">
        <v>7663</v>
      </c>
      <c r="D67">
        <v>21161.33</v>
      </c>
      <c r="E67">
        <v>12251728.949999999</v>
      </c>
      <c r="F67">
        <v>2</v>
      </c>
      <c r="G67">
        <v>0.26099438862064461</v>
      </c>
      <c r="H67">
        <v>343211000</v>
      </c>
      <c r="I67">
        <v>44788.07</v>
      </c>
      <c r="J67">
        <v>2023</v>
      </c>
      <c r="K67">
        <v>2021</v>
      </c>
      <c r="L67">
        <v>13302499.869999999</v>
      </c>
      <c r="M67">
        <f t="shared" ref="M67:M130" si="1">L67/C67</f>
        <v>1735.9389103484275</v>
      </c>
    </row>
    <row r="68" spans="1:13" x14ac:dyDescent="0.25">
      <c r="A68" t="s">
        <v>78</v>
      </c>
      <c r="B68" s="3">
        <v>5212501</v>
      </c>
      <c r="C68">
        <v>214645</v>
      </c>
      <c r="D68">
        <v>24035290.859999999</v>
      </c>
      <c r="E68">
        <v>88250238.159999996</v>
      </c>
      <c r="F68">
        <v>87</v>
      </c>
      <c r="G68">
        <v>0.40532041277458131</v>
      </c>
      <c r="H68">
        <v>5435386000</v>
      </c>
      <c r="I68">
        <v>25322.68</v>
      </c>
      <c r="J68">
        <v>2023</v>
      </c>
      <c r="K68">
        <v>2021</v>
      </c>
      <c r="L68">
        <v>360873296.98000002</v>
      </c>
      <c r="M68">
        <f t="shared" si="1"/>
        <v>1681.2564792098583</v>
      </c>
    </row>
    <row r="69" spans="1:13" x14ac:dyDescent="0.25">
      <c r="A69" t="s">
        <v>79</v>
      </c>
      <c r="B69" s="3">
        <v>5212808</v>
      </c>
      <c r="C69">
        <v>9234</v>
      </c>
      <c r="D69">
        <v>295317.31</v>
      </c>
      <c r="E69">
        <v>1966439.2</v>
      </c>
      <c r="F69">
        <v>4</v>
      </c>
      <c r="G69">
        <v>0.43318171973142727</v>
      </c>
      <c r="H69">
        <v>291248000</v>
      </c>
      <c r="I69">
        <v>31540.83</v>
      </c>
      <c r="J69">
        <v>2023</v>
      </c>
      <c r="K69">
        <v>2021</v>
      </c>
      <c r="L69">
        <v>120094879.7</v>
      </c>
      <c r="M69">
        <f t="shared" si="1"/>
        <v>13005.72662984622</v>
      </c>
    </row>
    <row r="70" spans="1:13" x14ac:dyDescent="0.25">
      <c r="A70" t="s">
        <v>80</v>
      </c>
      <c r="B70" s="3">
        <v>5213004</v>
      </c>
      <c r="C70">
        <v>14568</v>
      </c>
      <c r="D70">
        <v>286482.2</v>
      </c>
      <c r="E70">
        <v>1569651.49</v>
      </c>
      <c r="F70">
        <v>1</v>
      </c>
      <c r="G70">
        <v>6.8643602416254806E-2</v>
      </c>
      <c r="H70">
        <v>247891000</v>
      </c>
      <c r="I70">
        <v>17016.13</v>
      </c>
      <c r="J70">
        <v>2023</v>
      </c>
      <c r="K70">
        <v>2021</v>
      </c>
      <c r="L70">
        <v>12383326.42</v>
      </c>
      <c r="M70">
        <f t="shared" si="1"/>
        <v>850.03613536518401</v>
      </c>
    </row>
    <row r="71" spans="1:13" x14ac:dyDescent="0.25">
      <c r="A71" t="s">
        <v>81</v>
      </c>
      <c r="B71" s="3">
        <v>5213053</v>
      </c>
      <c r="C71">
        <v>2575</v>
      </c>
      <c r="D71">
        <v>11785.45</v>
      </c>
      <c r="E71">
        <v>50976.22</v>
      </c>
      <c r="F71">
        <v>2</v>
      </c>
      <c r="G71">
        <v>0.77669902912621369</v>
      </c>
      <c r="H71">
        <v>247554000</v>
      </c>
      <c r="I71">
        <v>96137.48</v>
      </c>
      <c r="J71">
        <v>2023</v>
      </c>
      <c r="K71">
        <v>2021</v>
      </c>
      <c r="L71">
        <v>7347788.0899999999</v>
      </c>
      <c r="M71">
        <f t="shared" si="1"/>
        <v>2853.5099378640775</v>
      </c>
    </row>
    <row r="72" spans="1:13" x14ac:dyDescent="0.25">
      <c r="A72" t="s">
        <v>82</v>
      </c>
      <c r="B72" s="3">
        <v>5213087</v>
      </c>
      <c r="C72">
        <v>28518</v>
      </c>
      <c r="D72">
        <v>265948.69</v>
      </c>
      <c r="E72">
        <v>48164150.119999997</v>
      </c>
      <c r="F72">
        <v>10</v>
      </c>
      <c r="G72">
        <v>0.350655726208009</v>
      </c>
      <c r="H72">
        <v>1296632000</v>
      </c>
      <c r="I72">
        <v>45467.14</v>
      </c>
      <c r="J72">
        <v>2023</v>
      </c>
      <c r="K72">
        <v>2021</v>
      </c>
      <c r="L72">
        <v>159104868.53</v>
      </c>
      <c r="M72">
        <f t="shared" si="1"/>
        <v>5579.1033217616941</v>
      </c>
    </row>
    <row r="73" spans="1:13" x14ac:dyDescent="0.25">
      <c r="A73" t="s">
        <v>83</v>
      </c>
      <c r="B73" s="3">
        <v>5213103</v>
      </c>
      <c r="C73">
        <v>69477</v>
      </c>
      <c r="D73">
        <v>1189072.54</v>
      </c>
      <c r="E73">
        <v>75664111.200000003</v>
      </c>
      <c r="F73">
        <v>10</v>
      </c>
      <c r="G73">
        <v>0.14393252443254601</v>
      </c>
      <c r="H73">
        <v>3288692000</v>
      </c>
      <c r="I73">
        <v>47334.97</v>
      </c>
      <c r="J73">
        <v>2023</v>
      </c>
      <c r="K73">
        <v>2021</v>
      </c>
      <c r="L73">
        <v>289306984.29000002</v>
      </c>
      <c r="M73">
        <f t="shared" si="1"/>
        <v>4164.068458482664</v>
      </c>
    </row>
    <row r="74" spans="1:13" x14ac:dyDescent="0.25">
      <c r="A74" t="s">
        <v>84</v>
      </c>
      <c r="B74" s="3">
        <v>5213772</v>
      </c>
      <c r="C74">
        <v>4538</v>
      </c>
      <c r="D74">
        <v>278.58</v>
      </c>
      <c r="E74">
        <v>4918374.3899999997</v>
      </c>
      <c r="F74">
        <v>1</v>
      </c>
      <c r="G74">
        <v>0.22036139268400179</v>
      </c>
      <c r="H74">
        <v>108826000</v>
      </c>
      <c r="I74">
        <v>23981.05</v>
      </c>
      <c r="J74">
        <v>2023</v>
      </c>
      <c r="K74">
        <v>2021</v>
      </c>
      <c r="L74">
        <v>5103278.6099999994</v>
      </c>
      <c r="M74">
        <f t="shared" si="1"/>
        <v>1124.5655817540764</v>
      </c>
    </row>
    <row r="75" spans="1:13" x14ac:dyDescent="0.25">
      <c r="A75" t="s">
        <v>85</v>
      </c>
      <c r="B75" s="3">
        <v>5213806</v>
      </c>
      <c r="C75">
        <v>46955</v>
      </c>
      <c r="D75">
        <v>418967</v>
      </c>
      <c r="E75">
        <v>41755682.810000002</v>
      </c>
      <c r="F75">
        <v>9</v>
      </c>
      <c r="G75">
        <v>0.19167287828772231</v>
      </c>
      <c r="H75">
        <v>1857437000</v>
      </c>
      <c r="I75">
        <v>39557.81</v>
      </c>
      <c r="J75">
        <v>2023</v>
      </c>
      <c r="K75">
        <v>2021</v>
      </c>
      <c r="L75">
        <v>146891285.13</v>
      </c>
      <c r="M75">
        <f t="shared" si="1"/>
        <v>3128.3417129166223</v>
      </c>
    </row>
    <row r="76" spans="1:13" x14ac:dyDescent="0.25">
      <c r="A76" t="s">
        <v>86</v>
      </c>
      <c r="B76" s="3">
        <v>5214002</v>
      </c>
      <c r="C76">
        <v>16077</v>
      </c>
      <c r="D76">
        <v>559782.64</v>
      </c>
      <c r="E76">
        <v>22276637.969999999</v>
      </c>
      <c r="F76">
        <v>6</v>
      </c>
      <c r="G76">
        <v>0.37320395596193318</v>
      </c>
      <c r="H76">
        <v>1025028000</v>
      </c>
      <c r="I76">
        <v>63757.42</v>
      </c>
      <c r="J76">
        <v>2023</v>
      </c>
      <c r="K76">
        <v>2021</v>
      </c>
      <c r="L76">
        <v>24574572.850000001</v>
      </c>
      <c r="M76">
        <f t="shared" si="1"/>
        <v>1528.55463394912</v>
      </c>
    </row>
    <row r="77" spans="1:13" x14ac:dyDescent="0.25">
      <c r="A77" t="s">
        <v>87</v>
      </c>
      <c r="B77" s="3">
        <v>5214051</v>
      </c>
      <c r="C77">
        <v>4540</v>
      </c>
      <c r="D77">
        <v>48250.03</v>
      </c>
      <c r="E77">
        <v>8699966.9299999997</v>
      </c>
      <c r="F77">
        <v>1</v>
      </c>
      <c r="G77">
        <v>0.22026431718061679</v>
      </c>
      <c r="H77">
        <v>180831000</v>
      </c>
      <c r="I77">
        <v>39830.620000000003</v>
      </c>
      <c r="J77">
        <v>2023</v>
      </c>
      <c r="K77">
        <v>2021</v>
      </c>
      <c r="L77">
        <v>12682224.550000001</v>
      </c>
      <c r="M77">
        <f t="shared" si="1"/>
        <v>2793.4415308370044</v>
      </c>
    </row>
    <row r="78" spans="1:13" x14ac:dyDescent="0.25">
      <c r="A78" t="s">
        <v>88</v>
      </c>
      <c r="B78" s="3">
        <v>5214101</v>
      </c>
      <c r="C78">
        <v>3749</v>
      </c>
      <c r="D78">
        <v>20251.36</v>
      </c>
      <c r="E78">
        <v>4736344.99</v>
      </c>
      <c r="F78">
        <v>2</v>
      </c>
      <c r="G78">
        <v>0.53347559349159768</v>
      </c>
      <c r="H78">
        <v>86417000</v>
      </c>
      <c r="I78">
        <v>23050.68</v>
      </c>
      <c r="J78">
        <v>2023</v>
      </c>
      <c r="K78">
        <v>2021</v>
      </c>
      <c r="L78">
        <v>7863123.4400000004</v>
      </c>
      <c r="M78">
        <f t="shared" si="1"/>
        <v>2097.392221925847</v>
      </c>
    </row>
    <row r="79" spans="1:13" x14ac:dyDescent="0.25">
      <c r="A79" t="s">
        <v>89</v>
      </c>
      <c r="B79" s="3">
        <v>5214408</v>
      </c>
      <c r="C79">
        <v>9375</v>
      </c>
      <c r="D79">
        <v>74988.61</v>
      </c>
      <c r="E79">
        <v>12459600.51</v>
      </c>
      <c r="F79">
        <v>1</v>
      </c>
      <c r="G79">
        <v>0.1066666666666667</v>
      </c>
      <c r="H79">
        <v>276910000</v>
      </c>
      <c r="I79">
        <v>29537.07</v>
      </c>
      <c r="J79">
        <v>2023</v>
      </c>
      <c r="K79">
        <v>2021</v>
      </c>
      <c r="L79">
        <v>9844389.870000001</v>
      </c>
      <c r="M79">
        <f t="shared" si="1"/>
        <v>1050.0682528000002</v>
      </c>
    </row>
    <row r="80" spans="1:13" x14ac:dyDescent="0.25">
      <c r="A80" t="s">
        <v>90</v>
      </c>
      <c r="B80" s="3">
        <v>5214507</v>
      </c>
      <c r="C80">
        <v>30931</v>
      </c>
      <c r="D80">
        <v>1441898.66</v>
      </c>
      <c r="E80">
        <v>37366081.219999999</v>
      </c>
      <c r="F80">
        <v>4</v>
      </c>
      <c r="G80">
        <v>0.12932009957647669</v>
      </c>
      <c r="H80">
        <v>1021184000</v>
      </c>
      <c r="I80">
        <v>33014.9</v>
      </c>
      <c r="J80">
        <v>2023</v>
      </c>
      <c r="K80">
        <v>2021</v>
      </c>
      <c r="L80">
        <v>116785175.75</v>
      </c>
      <c r="M80">
        <f t="shared" si="1"/>
        <v>3775.6676392615823</v>
      </c>
    </row>
    <row r="81" spans="1:13" x14ac:dyDescent="0.25">
      <c r="A81" t="s">
        <v>91</v>
      </c>
      <c r="B81" s="3">
        <v>5214606</v>
      </c>
      <c r="C81">
        <v>47064</v>
      </c>
      <c r="D81">
        <v>174678.97</v>
      </c>
      <c r="E81">
        <v>33584359.32</v>
      </c>
      <c r="F81">
        <v>14</v>
      </c>
      <c r="G81">
        <v>0.29746727859935412</v>
      </c>
      <c r="H81">
        <v>1291680000</v>
      </c>
      <c r="I81">
        <v>27445.18</v>
      </c>
      <c r="J81">
        <v>2023</v>
      </c>
      <c r="K81">
        <v>2021</v>
      </c>
      <c r="L81">
        <v>81035902.239999995</v>
      </c>
      <c r="M81">
        <f t="shared" si="1"/>
        <v>1721.8235220125785</v>
      </c>
    </row>
    <row r="82" spans="1:13" x14ac:dyDescent="0.25">
      <c r="A82" t="s">
        <v>92</v>
      </c>
      <c r="B82" s="3">
        <v>5214838</v>
      </c>
      <c r="C82">
        <v>13020</v>
      </c>
      <c r="D82">
        <v>248366.22</v>
      </c>
      <c r="E82">
        <v>23040870.07</v>
      </c>
      <c r="F82">
        <v>3</v>
      </c>
      <c r="G82">
        <v>0.2304147465437788</v>
      </c>
      <c r="H82">
        <v>628524000</v>
      </c>
      <c r="I82">
        <v>48273.73</v>
      </c>
      <c r="J82">
        <v>2023</v>
      </c>
      <c r="K82">
        <v>2021</v>
      </c>
      <c r="L82">
        <v>73480533.689999998</v>
      </c>
      <c r="M82">
        <f t="shared" si="1"/>
        <v>5643.6661820276495</v>
      </c>
    </row>
    <row r="83" spans="1:13" x14ac:dyDescent="0.25">
      <c r="A83" t="s">
        <v>93</v>
      </c>
      <c r="B83" s="3">
        <v>5214861</v>
      </c>
      <c r="C83">
        <v>8063</v>
      </c>
      <c r="D83">
        <v>47283.62</v>
      </c>
      <c r="E83">
        <v>5274525.26</v>
      </c>
      <c r="F83">
        <v>2</v>
      </c>
      <c r="G83">
        <v>0.24804663276696021</v>
      </c>
      <c r="H83">
        <v>141160000</v>
      </c>
      <c r="I83">
        <v>17507.13</v>
      </c>
      <c r="J83">
        <v>2023</v>
      </c>
      <c r="K83">
        <v>2021</v>
      </c>
      <c r="L83">
        <v>7806925.9199999999</v>
      </c>
      <c r="M83">
        <f t="shared" si="1"/>
        <v>968.24084335855139</v>
      </c>
    </row>
    <row r="84" spans="1:13" x14ac:dyDescent="0.25">
      <c r="A84" t="s">
        <v>94</v>
      </c>
      <c r="B84" s="3">
        <v>5215207</v>
      </c>
      <c r="C84">
        <v>2775</v>
      </c>
      <c r="D84">
        <v>92806.86</v>
      </c>
      <c r="E84">
        <v>6134815.4800000004</v>
      </c>
      <c r="F84">
        <v>1</v>
      </c>
      <c r="G84">
        <v>0.36036036036036029</v>
      </c>
      <c r="H84">
        <v>85234000</v>
      </c>
      <c r="I84">
        <v>30714.95</v>
      </c>
      <c r="J84">
        <v>2023</v>
      </c>
      <c r="K84">
        <v>2021</v>
      </c>
      <c r="L84">
        <v>5677960.9800000004</v>
      </c>
      <c r="M84">
        <f t="shared" si="1"/>
        <v>2046.112064864865</v>
      </c>
    </row>
    <row r="85" spans="1:13" x14ac:dyDescent="0.25">
      <c r="A85" t="s">
        <v>95</v>
      </c>
      <c r="B85" s="3">
        <v>5215231</v>
      </c>
      <c r="C85">
        <v>119649</v>
      </c>
      <c r="D85">
        <v>7599904</v>
      </c>
      <c r="E85">
        <v>9015944.1199999992</v>
      </c>
      <c r="F85">
        <v>35</v>
      </c>
      <c r="G85">
        <v>0.29252229437772148</v>
      </c>
      <c r="H85">
        <v>1154068000</v>
      </c>
      <c r="I85">
        <v>9645.4500000000007</v>
      </c>
      <c r="J85">
        <v>2023</v>
      </c>
      <c r="K85">
        <v>2021</v>
      </c>
      <c r="L85">
        <v>77352190.290000007</v>
      </c>
      <c r="M85">
        <f t="shared" si="1"/>
        <v>646.49257653636892</v>
      </c>
    </row>
    <row r="86" spans="1:13" x14ac:dyDescent="0.25">
      <c r="A86" t="s">
        <v>96</v>
      </c>
      <c r="B86" s="3">
        <v>5215306</v>
      </c>
      <c r="C86">
        <v>15834</v>
      </c>
      <c r="D86">
        <v>87824.81</v>
      </c>
      <c r="E86">
        <v>20018018.34</v>
      </c>
      <c r="F86">
        <v>2</v>
      </c>
      <c r="G86">
        <v>0.1263104711380573</v>
      </c>
      <c r="H86">
        <v>938155000</v>
      </c>
      <c r="I86">
        <v>59249.4</v>
      </c>
      <c r="J86">
        <v>2023</v>
      </c>
      <c r="K86">
        <v>2021</v>
      </c>
      <c r="L86">
        <v>26234349.579999998</v>
      </c>
      <c r="M86">
        <f t="shared" si="1"/>
        <v>1656.8365277251482</v>
      </c>
    </row>
    <row r="87" spans="1:13" x14ac:dyDescent="0.25">
      <c r="A87" t="s">
        <v>97</v>
      </c>
      <c r="B87" s="3">
        <v>5215504</v>
      </c>
      <c r="C87">
        <v>6895</v>
      </c>
      <c r="D87">
        <v>71194.58</v>
      </c>
      <c r="E87">
        <v>37461714.770000003</v>
      </c>
      <c r="F87">
        <v>1</v>
      </c>
      <c r="G87">
        <v>0.14503263234227701</v>
      </c>
      <c r="H87">
        <v>765399000</v>
      </c>
      <c r="I87">
        <v>111007.83</v>
      </c>
      <c r="J87">
        <v>2023</v>
      </c>
      <c r="K87">
        <v>2021</v>
      </c>
      <c r="L87">
        <v>63483404.799999997</v>
      </c>
      <c r="M87">
        <f t="shared" si="1"/>
        <v>9207.1653081943441</v>
      </c>
    </row>
    <row r="88" spans="1:13" x14ac:dyDescent="0.25">
      <c r="A88" t="s">
        <v>98</v>
      </c>
      <c r="B88" s="3">
        <v>5215652</v>
      </c>
      <c r="C88">
        <v>3470</v>
      </c>
      <c r="D88">
        <v>464638.16</v>
      </c>
      <c r="E88">
        <v>7581945.1399999997</v>
      </c>
      <c r="F88">
        <v>1</v>
      </c>
      <c r="G88">
        <v>0.28818443804034583</v>
      </c>
      <c r="H88">
        <v>173192000</v>
      </c>
      <c r="I88">
        <v>49911.24</v>
      </c>
      <c r="J88">
        <v>2023</v>
      </c>
      <c r="K88">
        <v>2021</v>
      </c>
      <c r="L88">
        <v>10714432.42</v>
      </c>
      <c r="M88">
        <f t="shared" si="1"/>
        <v>3087.7326858789625</v>
      </c>
    </row>
    <row r="89" spans="1:13" x14ac:dyDescent="0.25">
      <c r="A89" t="s">
        <v>99</v>
      </c>
      <c r="B89" s="3">
        <v>5215702</v>
      </c>
      <c r="C89">
        <v>29915</v>
      </c>
      <c r="D89">
        <v>304982.2</v>
      </c>
      <c r="E89">
        <v>46953905.43</v>
      </c>
      <c r="F89">
        <v>6</v>
      </c>
      <c r="G89">
        <v>0.20056827678422201</v>
      </c>
      <c r="H89">
        <v>1770770000</v>
      </c>
      <c r="I89">
        <v>59193.38</v>
      </c>
      <c r="J89">
        <v>2023</v>
      </c>
      <c r="K89">
        <v>2021</v>
      </c>
      <c r="L89">
        <v>70687296.900000006</v>
      </c>
      <c r="M89">
        <f t="shared" si="1"/>
        <v>2362.9382216279459</v>
      </c>
    </row>
    <row r="90" spans="1:13" x14ac:dyDescent="0.25">
      <c r="A90" t="s">
        <v>100</v>
      </c>
      <c r="B90" s="3">
        <v>5215900</v>
      </c>
      <c r="C90">
        <v>3578</v>
      </c>
      <c r="D90">
        <v>5999.52</v>
      </c>
      <c r="E90">
        <v>7493895.8399999999</v>
      </c>
      <c r="F90">
        <v>1</v>
      </c>
      <c r="G90">
        <v>0.27948574622694239</v>
      </c>
      <c r="H90">
        <v>220046000</v>
      </c>
      <c r="I90">
        <v>61499.72</v>
      </c>
      <c r="J90">
        <v>2023</v>
      </c>
      <c r="K90">
        <v>2021</v>
      </c>
      <c r="L90">
        <v>7581012.0699999994</v>
      </c>
      <c r="M90">
        <f t="shared" si="1"/>
        <v>2118.7848155394072</v>
      </c>
    </row>
    <row r="91" spans="1:13" x14ac:dyDescent="0.25">
      <c r="A91" t="s">
        <v>101</v>
      </c>
      <c r="B91" s="3">
        <v>5216304</v>
      </c>
      <c r="C91">
        <v>10221</v>
      </c>
      <c r="D91">
        <v>53708.11</v>
      </c>
      <c r="E91">
        <v>10221882.710000001</v>
      </c>
      <c r="F91">
        <v>1</v>
      </c>
      <c r="G91">
        <v>9.7837784952548676E-2</v>
      </c>
      <c r="H91">
        <v>236667000</v>
      </c>
      <c r="I91">
        <v>23154.98</v>
      </c>
      <c r="J91">
        <v>2023</v>
      </c>
      <c r="K91">
        <v>2021</v>
      </c>
      <c r="L91">
        <v>13236006.560000001</v>
      </c>
      <c r="M91">
        <f t="shared" si="1"/>
        <v>1294.9815634478036</v>
      </c>
    </row>
    <row r="92" spans="1:13" x14ac:dyDescent="0.25">
      <c r="A92" t="s">
        <v>102</v>
      </c>
      <c r="B92" s="3">
        <v>5216403</v>
      </c>
      <c r="C92">
        <v>10988</v>
      </c>
      <c r="D92">
        <v>692362.9</v>
      </c>
      <c r="E92">
        <v>43299773.759999998</v>
      </c>
      <c r="F92">
        <v>1</v>
      </c>
      <c r="G92">
        <v>9.100837277029486E-2</v>
      </c>
      <c r="H92">
        <v>1559917000</v>
      </c>
      <c r="I92">
        <v>141965.51</v>
      </c>
      <c r="J92">
        <v>2023</v>
      </c>
      <c r="K92">
        <v>2021</v>
      </c>
      <c r="L92">
        <v>65985056.460000001</v>
      </c>
      <c r="M92">
        <f t="shared" si="1"/>
        <v>6005.1926155806332</v>
      </c>
    </row>
    <row r="93" spans="1:13" x14ac:dyDescent="0.25">
      <c r="A93" t="s">
        <v>103</v>
      </c>
      <c r="B93" s="3">
        <v>5216452</v>
      </c>
      <c r="C93">
        <v>3156</v>
      </c>
      <c r="D93">
        <v>168305.12</v>
      </c>
      <c r="E93">
        <v>25441786.609999999</v>
      </c>
      <c r="F93">
        <v>1</v>
      </c>
      <c r="G93">
        <v>0.3168567807351077</v>
      </c>
      <c r="H93">
        <v>708388000</v>
      </c>
      <c r="I93">
        <v>224457.54</v>
      </c>
      <c r="J93">
        <v>2023</v>
      </c>
      <c r="K93">
        <v>2021</v>
      </c>
      <c r="L93">
        <v>20052436.370000001</v>
      </c>
      <c r="M93">
        <f t="shared" si="1"/>
        <v>6353.7504340937903</v>
      </c>
    </row>
    <row r="94" spans="1:13" x14ac:dyDescent="0.25">
      <c r="A94" t="s">
        <v>104</v>
      </c>
      <c r="B94" s="3">
        <v>5216908</v>
      </c>
      <c r="C94">
        <v>2135</v>
      </c>
      <c r="D94">
        <v>20667.16</v>
      </c>
      <c r="E94">
        <v>9999628.8800000008</v>
      </c>
      <c r="F94">
        <v>2</v>
      </c>
      <c r="G94">
        <v>0.93676814988290402</v>
      </c>
      <c r="H94">
        <v>192739000</v>
      </c>
      <c r="I94">
        <v>90275.88</v>
      </c>
      <c r="J94">
        <v>2023</v>
      </c>
      <c r="K94">
        <v>2021</v>
      </c>
      <c r="L94">
        <v>6908660.9800000004</v>
      </c>
      <c r="M94">
        <f t="shared" si="1"/>
        <v>3235.9067822014053</v>
      </c>
    </row>
    <row r="95" spans="1:13" x14ac:dyDescent="0.25">
      <c r="A95" t="s">
        <v>105</v>
      </c>
      <c r="B95" s="3">
        <v>5217104</v>
      </c>
      <c r="C95">
        <v>24543</v>
      </c>
      <c r="D95">
        <v>499504.39</v>
      </c>
      <c r="E95">
        <v>23337212.84</v>
      </c>
      <c r="F95">
        <v>6</v>
      </c>
      <c r="G95">
        <v>0.2444688913335778</v>
      </c>
      <c r="H95">
        <v>1239008000</v>
      </c>
      <c r="I95">
        <v>50483.15</v>
      </c>
      <c r="J95">
        <v>2023</v>
      </c>
      <c r="K95">
        <v>2021</v>
      </c>
      <c r="L95">
        <v>55829756.859999999</v>
      </c>
      <c r="M95">
        <f t="shared" si="1"/>
        <v>2274.7731271645685</v>
      </c>
    </row>
    <row r="96" spans="1:13" x14ac:dyDescent="0.25">
      <c r="A96" t="s">
        <v>106</v>
      </c>
      <c r="B96" s="3">
        <v>5217203</v>
      </c>
      <c r="C96">
        <v>10161</v>
      </c>
      <c r="D96">
        <v>235539.14</v>
      </c>
      <c r="E96">
        <v>14730972.189999999</v>
      </c>
      <c r="F96">
        <v>3</v>
      </c>
      <c r="G96">
        <v>0.29524653085326252</v>
      </c>
      <c r="H96">
        <v>609385000</v>
      </c>
      <c r="I96">
        <v>59972.94</v>
      </c>
      <c r="J96">
        <v>2023</v>
      </c>
      <c r="K96">
        <v>2021</v>
      </c>
      <c r="L96">
        <v>18200382.640000001</v>
      </c>
      <c r="M96">
        <f t="shared" si="1"/>
        <v>1791.1999448873144</v>
      </c>
    </row>
    <row r="97" spans="1:13" x14ac:dyDescent="0.25">
      <c r="A97" t="s">
        <v>107</v>
      </c>
      <c r="B97" s="3">
        <v>5217302</v>
      </c>
      <c r="C97">
        <v>25218</v>
      </c>
      <c r="D97">
        <v>687151.4</v>
      </c>
      <c r="E97">
        <v>7508189.7999999998</v>
      </c>
      <c r="F97">
        <v>5</v>
      </c>
      <c r="G97">
        <v>0.19827107621540169</v>
      </c>
      <c r="H97">
        <v>640329000</v>
      </c>
      <c r="I97">
        <v>25391.74</v>
      </c>
      <c r="J97">
        <v>2023</v>
      </c>
      <c r="K97">
        <v>2021</v>
      </c>
      <c r="L97">
        <v>67944875.480000004</v>
      </c>
      <c r="M97">
        <f t="shared" si="1"/>
        <v>2694.3007169482116</v>
      </c>
    </row>
    <row r="98" spans="1:13" x14ac:dyDescent="0.25">
      <c r="A98" t="s">
        <v>108</v>
      </c>
      <c r="B98" s="3">
        <v>5217401</v>
      </c>
      <c r="C98">
        <v>31909</v>
      </c>
      <c r="D98">
        <v>90353.59</v>
      </c>
      <c r="E98">
        <v>33787648.32</v>
      </c>
      <c r="F98">
        <v>12</v>
      </c>
      <c r="G98">
        <v>0.37606944749130339</v>
      </c>
      <c r="H98">
        <v>1405076000</v>
      </c>
      <c r="I98">
        <v>44033.85</v>
      </c>
      <c r="J98">
        <v>2023</v>
      </c>
      <c r="K98">
        <v>2021</v>
      </c>
      <c r="L98">
        <v>63878016.969999999</v>
      </c>
      <c r="M98">
        <f t="shared" si="1"/>
        <v>2001.8808790623334</v>
      </c>
    </row>
    <row r="99" spans="1:13" x14ac:dyDescent="0.25">
      <c r="A99" t="s">
        <v>109</v>
      </c>
      <c r="B99" s="3">
        <v>5217609</v>
      </c>
      <c r="C99">
        <v>91345</v>
      </c>
      <c r="D99">
        <v>680560.09</v>
      </c>
      <c r="E99">
        <v>21907617.170000002</v>
      </c>
      <c r="F99">
        <v>33</v>
      </c>
      <c r="G99">
        <v>0.36126772127647933</v>
      </c>
      <c r="H99">
        <v>1453001000</v>
      </c>
      <c r="I99">
        <v>15906.74</v>
      </c>
      <c r="J99">
        <v>2023</v>
      </c>
      <c r="K99">
        <v>2021</v>
      </c>
      <c r="L99">
        <v>153698844.83000001</v>
      </c>
      <c r="M99">
        <f t="shared" si="1"/>
        <v>1682.6191343806449</v>
      </c>
    </row>
    <row r="100" spans="1:13" x14ac:dyDescent="0.25">
      <c r="A100" t="s">
        <v>110</v>
      </c>
      <c r="B100" s="3">
        <v>5217708</v>
      </c>
      <c r="C100">
        <v>17899</v>
      </c>
      <c r="D100">
        <v>324509.19</v>
      </c>
      <c r="E100">
        <v>15222614.130000001</v>
      </c>
      <c r="F100">
        <v>2</v>
      </c>
      <c r="G100">
        <v>0.1117380859265881</v>
      </c>
      <c r="H100">
        <v>717210000</v>
      </c>
      <c r="I100">
        <v>40069.839999999997</v>
      </c>
      <c r="J100">
        <v>2023</v>
      </c>
      <c r="K100">
        <v>2021</v>
      </c>
      <c r="L100">
        <v>39610820.280000001</v>
      </c>
      <c r="M100">
        <f t="shared" si="1"/>
        <v>2213.0186200346388</v>
      </c>
    </row>
    <row r="101" spans="1:13" x14ac:dyDescent="0.25">
      <c r="A101" t="s">
        <v>111</v>
      </c>
      <c r="B101" s="3">
        <v>5218052</v>
      </c>
      <c r="C101">
        <v>3979</v>
      </c>
      <c r="D101">
        <v>189437.28</v>
      </c>
      <c r="E101">
        <v>10894243.75</v>
      </c>
      <c r="F101">
        <v>2</v>
      </c>
      <c r="G101">
        <v>0.5026388539834129</v>
      </c>
      <c r="H101">
        <v>222461000</v>
      </c>
      <c r="I101">
        <v>55908.77</v>
      </c>
      <c r="J101">
        <v>2023</v>
      </c>
      <c r="K101">
        <v>2021</v>
      </c>
      <c r="L101">
        <v>17432941.23</v>
      </c>
      <c r="M101">
        <f t="shared" si="1"/>
        <v>4381.2368007036948</v>
      </c>
    </row>
    <row r="102" spans="1:13" x14ac:dyDescent="0.25">
      <c r="A102" t="s">
        <v>112</v>
      </c>
      <c r="B102" s="3">
        <v>5218300</v>
      </c>
      <c r="C102">
        <v>37924</v>
      </c>
      <c r="D102">
        <v>574960.07999999996</v>
      </c>
      <c r="E102">
        <v>10277836.23</v>
      </c>
      <c r="F102">
        <v>14</v>
      </c>
      <c r="G102">
        <v>0.36915937137432758</v>
      </c>
      <c r="H102">
        <v>703571000</v>
      </c>
      <c r="I102">
        <v>18552.13</v>
      </c>
      <c r="J102">
        <v>2023</v>
      </c>
      <c r="K102">
        <v>2021</v>
      </c>
      <c r="L102">
        <v>71830778.070000008</v>
      </c>
      <c r="M102">
        <f t="shared" si="1"/>
        <v>1894.0717769750029</v>
      </c>
    </row>
    <row r="103" spans="1:13" x14ac:dyDescent="0.25">
      <c r="A103" t="s">
        <v>113</v>
      </c>
      <c r="B103" s="3">
        <v>5218508</v>
      </c>
      <c r="C103">
        <v>51323</v>
      </c>
      <c r="D103">
        <v>3102908.64</v>
      </c>
      <c r="E103">
        <v>67756985.670000002</v>
      </c>
      <c r="F103">
        <v>22</v>
      </c>
      <c r="G103">
        <v>0.42865771681312481</v>
      </c>
      <c r="H103">
        <v>2147553000</v>
      </c>
      <c r="I103">
        <v>41843.870000000003</v>
      </c>
      <c r="J103">
        <v>2023</v>
      </c>
      <c r="K103">
        <v>2021</v>
      </c>
      <c r="L103">
        <v>179347480.33000001</v>
      </c>
      <c r="M103">
        <f t="shared" si="1"/>
        <v>3494.4855197474817</v>
      </c>
    </row>
    <row r="104" spans="1:13" x14ac:dyDescent="0.25">
      <c r="A104" t="s">
        <v>114</v>
      </c>
      <c r="B104" s="3">
        <v>5218607</v>
      </c>
      <c r="C104">
        <v>10961</v>
      </c>
      <c r="D104">
        <v>156992.19</v>
      </c>
      <c r="E104">
        <v>10361987.960000001</v>
      </c>
      <c r="F104">
        <v>1</v>
      </c>
      <c r="G104">
        <v>9.1232551774473133E-2</v>
      </c>
      <c r="H104">
        <v>314485000</v>
      </c>
      <c r="I104">
        <v>28691.27</v>
      </c>
      <c r="J104">
        <v>2023</v>
      </c>
      <c r="K104">
        <v>2021</v>
      </c>
      <c r="L104">
        <v>26027850.300000001</v>
      </c>
      <c r="M104">
        <f t="shared" si="1"/>
        <v>2374.587200072986</v>
      </c>
    </row>
    <row r="105" spans="1:13" x14ac:dyDescent="0.25">
      <c r="A105" t="s">
        <v>115</v>
      </c>
      <c r="B105" s="3">
        <v>5218789</v>
      </c>
      <c r="C105">
        <v>4728</v>
      </c>
      <c r="D105">
        <v>136677.91</v>
      </c>
      <c r="E105">
        <v>5163820.46</v>
      </c>
      <c r="F105">
        <v>1</v>
      </c>
      <c r="G105">
        <v>0.21150592216582059</v>
      </c>
      <c r="H105">
        <v>326106000</v>
      </c>
      <c r="I105">
        <v>68973.350000000006</v>
      </c>
      <c r="J105">
        <v>2023</v>
      </c>
      <c r="K105">
        <v>2021</v>
      </c>
      <c r="L105">
        <v>58135440.649999999</v>
      </c>
      <c r="M105">
        <f t="shared" si="1"/>
        <v>12295.989985194585</v>
      </c>
    </row>
    <row r="106" spans="1:13" x14ac:dyDescent="0.25">
      <c r="A106" t="s">
        <v>116</v>
      </c>
      <c r="B106" s="3">
        <v>5218805</v>
      </c>
      <c r="C106">
        <v>247259</v>
      </c>
      <c r="D106">
        <v>20962165.039999999</v>
      </c>
      <c r="E106">
        <v>367425779.36000001</v>
      </c>
      <c r="F106">
        <v>32</v>
      </c>
      <c r="G106">
        <v>0.12941894936079171</v>
      </c>
      <c r="H106">
        <v>16306271000</v>
      </c>
      <c r="I106">
        <v>65948.14</v>
      </c>
      <c r="J106">
        <v>2023</v>
      </c>
      <c r="K106">
        <v>2021</v>
      </c>
      <c r="L106">
        <v>1249832054.24</v>
      </c>
      <c r="M106">
        <f t="shared" si="1"/>
        <v>5054.7484792869018</v>
      </c>
    </row>
    <row r="107" spans="1:13" x14ac:dyDescent="0.25">
      <c r="A107" t="s">
        <v>117</v>
      </c>
      <c r="B107" s="3">
        <v>5218904</v>
      </c>
      <c r="C107">
        <v>20012</v>
      </c>
      <c r="D107">
        <v>218804.1</v>
      </c>
      <c r="E107">
        <v>15062806.68</v>
      </c>
      <c r="F107">
        <v>5</v>
      </c>
      <c r="G107">
        <v>0.24985008994603239</v>
      </c>
      <c r="H107">
        <v>565885000</v>
      </c>
      <c r="I107">
        <v>28277.279999999999</v>
      </c>
      <c r="J107">
        <v>2023</v>
      </c>
      <c r="K107">
        <v>2021</v>
      </c>
      <c r="L107">
        <v>40177655.829999998</v>
      </c>
      <c r="M107">
        <f t="shared" si="1"/>
        <v>2007.6781845892463</v>
      </c>
    </row>
    <row r="108" spans="1:13" x14ac:dyDescent="0.25">
      <c r="A108" t="s">
        <v>118</v>
      </c>
      <c r="B108" s="3">
        <v>5219100</v>
      </c>
      <c r="C108">
        <v>6701</v>
      </c>
      <c r="D108">
        <v>26965.759999999998</v>
      </c>
      <c r="E108">
        <v>5711285.21</v>
      </c>
      <c r="F108">
        <v>1</v>
      </c>
      <c r="G108">
        <v>0.1492314579913446</v>
      </c>
      <c r="H108">
        <v>154107000</v>
      </c>
      <c r="I108">
        <v>22997.61</v>
      </c>
      <c r="J108">
        <v>2023</v>
      </c>
      <c r="K108">
        <v>2021</v>
      </c>
      <c r="L108">
        <v>10168893.15</v>
      </c>
      <c r="M108">
        <f t="shared" si="1"/>
        <v>1517.5187509326968</v>
      </c>
    </row>
    <row r="109" spans="1:13" x14ac:dyDescent="0.25">
      <c r="A109" t="s">
        <v>119</v>
      </c>
      <c r="B109" s="3">
        <v>5219308</v>
      </c>
      <c r="C109">
        <v>38962</v>
      </c>
      <c r="D109">
        <v>814293.51</v>
      </c>
      <c r="E109">
        <v>36734650.5</v>
      </c>
      <c r="F109">
        <v>7</v>
      </c>
      <c r="G109">
        <v>0.17966223499820341</v>
      </c>
      <c r="H109">
        <v>1620937000</v>
      </c>
      <c r="I109">
        <v>41603.019999999997</v>
      </c>
      <c r="J109">
        <v>2023</v>
      </c>
      <c r="K109">
        <v>2021</v>
      </c>
      <c r="L109">
        <v>81976986.739999995</v>
      </c>
      <c r="M109">
        <f t="shared" si="1"/>
        <v>2104.0240937323547</v>
      </c>
    </row>
    <row r="110" spans="1:13" x14ac:dyDescent="0.25">
      <c r="A110" t="s">
        <v>120</v>
      </c>
      <c r="B110" s="3">
        <v>5219407</v>
      </c>
      <c r="C110">
        <v>9110</v>
      </c>
      <c r="D110">
        <v>1227.56</v>
      </c>
      <c r="E110">
        <v>6354487.6600000001</v>
      </c>
      <c r="F110">
        <v>2</v>
      </c>
      <c r="G110">
        <v>0.21953896816684959</v>
      </c>
      <c r="H110">
        <v>204953000</v>
      </c>
      <c r="I110">
        <v>22497.59</v>
      </c>
      <c r="J110">
        <v>2023</v>
      </c>
      <c r="K110">
        <v>2021</v>
      </c>
      <c r="L110">
        <v>7414247.0999999996</v>
      </c>
      <c r="M110">
        <f t="shared" si="1"/>
        <v>813.85807903402849</v>
      </c>
    </row>
    <row r="111" spans="1:13" x14ac:dyDescent="0.25">
      <c r="A111" t="s">
        <v>121</v>
      </c>
      <c r="B111" s="3">
        <v>5219605</v>
      </c>
      <c r="C111">
        <v>3207</v>
      </c>
      <c r="D111">
        <v>61431.97</v>
      </c>
      <c r="E111">
        <v>5370633.4299999997</v>
      </c>
      <c r="F111">
        <v>2</v>
      </c>
      <c r="G111">
        <v>0.62363579669473024</v>
      </c>
      <c r="H111">
        <v>87563000</v>
      </c>
      <c r="I111">
        <v>27303.71</v>
      </c>
      <c r="J111">
        <v>2023</v>
      </c>
      <c r="K111">
        <v>2021</v>
      </c>
      <c r="L111">
        <v>9689842.8000000007</v>
      </c>
      <c r="M111">
        <f t="shared" si="1"/>
        <v>3021.466417212348</v>
      </c>
    </row>
    <row r="112" spans="1:13" x14ac:dyDescent="0.25">
      <c r="A112" t="s">
        <v>122</v>
      </c>
      <c r="B112" s="3">
        <v>5219704</v>
      </c>
      <c r="C112">
        <v>8386</v>
      </c>
      <c r="D112">
        <v>50517.35</v>
      </c>
      <c r="E112">
        <v>6339086.7599999998</v>
      </c>
      <c r="F112">
        <v>4</v>
      </c>
      <c r="G112">
        <v>0.47698545194371572</v>
      </c>
      <c r="H112">
        <v>190835000</v>
      </c>
      <c r="I112">
        <v>22756.38</v>
      </c>
      <c r="J112">
        <v>2023</v>
      </c>
      <c r="K112">
        <v>2021</v>
      </c>
      <c r="L112">
        <v>29639141.239999998</v>
      </c>
      <c r="M112">
        <f t="shared" si="1"/>
        <v>3534.3597948962556</v>
      </c>
    </row>
    <row r="113" spans="1:13" x14ac:dyDescent="0.25">
      <c r="A113" t="s">
        <v>123</v>
      </c>
      <c r="B113" s="3">
        <v>5219753</v>
      </c>
      <c r="C113">
        <v>76871</v>
      </c>
      <c r="D113">
        <v>3918327.7</v>
      </c>
      <c r="E113">
        <v>9013479.8399999999</v>
      </c>
      <c r="F113">
        <v>18</v>
      </c>
      <c r="G113">
        <v>0.23415852532164269</v>
      </c>
      <c r="H113">
        <v>825618000</v>
      </c>
      <c r="I113">
        <v>10740.31</v>
      </c>
      <c r="J113">
        <v>2023</v>
      </c>
      <c r="K113">
        <v>2021</v>
      </c>
      <c r="L113">
        <v>82781952.040000007</v>
      </c>
      <c r="M113">
        <f t="shared" si="1"/>
        <v>1076.8944340518533</v>
      </c>
    </row>
    <row r="114" spans="1:13" x14ac:dyDescent="0.25">
      <c r="A114" t="s">
        <v>124</v>
      </c>
      <c r="B114" s="3">
        <v>5220454</v>
      </c>
      <c r="C114">
        <v>121447</v>
      </c>
      <c r="D114">
        <v>34863195.82</v>
      </c>
      <c r="E114">
        <v>198370467.91999999</v>
      </c>
      <c r="F114">
        <v>36</v>
      </c>
      <c r="G114">
        <v>0.29642560129109818</v>
      </c>
      <c r="H114">
        <v>4765089000</v>
      </c>
      <c r="I114">
        <v>39235.949999999997</v>
      </c>
      <c r="J114">
        <v>2023</v>
      </c>
      <c r="K114">
        <v>2021</v>
      </c>
      <c r="L114">
        <v>496111299.55999988</v>
      </c>
      <c r="M114">
        <f t="shared" si="1"/>
        <v>4085.002507760586</v>
      </c>
    </row>
    <row r="115" spans="1:13" x14ac:dyDescent="0.25">
      <c r="A115" t="s">
        <v>125</v>
      </c>
      <c r="B115" s="3">
        <v>5220603</v>
      </c>
      <c r="C115">
        <v>20938</v>
      </c>
      <c r="D115">
        <v>268593.39</v>
      </c>
      <c r="E115">
        <v>27679410.289999999</v>
      </c>
      <c r="F115">
        <v>1</v>
      </c>
      <c r="G115">
        <v>4.7760053491259898E-2</v>
      </c>
      <c r="H115">
        <v>1315548000</v>
      </c>
      <c r="I115">
        <v>62830.64</v>
      </c>
      <c r="J115">
        <v>2023</v>
      </c>
      <c r="K115">
        <v>2021</v>
      </c>
      <c r="L115">
        <v>77396115.310000002</v>
      </c>
      <c r="M115">
        <f t="shared" si="1"/>
        <v>3696.44260722132</v>
      </c>
    </row>
    <row r="116" spans="1:13" x14ac:dyDescent="0.25">
      <c r="A116" t="s">
        <v>126</v>
      </c>
      <c r="B116" s="3">
        <v>5220686</v>
      </c>
      <c r="C116">
        <v>6895</v>
      </c>
      <c r="D116">
        <v>7381.64</v>
      </c>
      <c r="E116">
        <v>5842152.7699999996</v>
      </c>
      <c r="F116">
        <v>3</v>
      </c>
      <c r="G116">
        <v>0.43509789702683099</v>
      </c>
      <c r="H116">
        <v>173317000</v>
      </c>
      <c r="I116">
        <v>25136.62</v>
      </c>
      <c r="J116">
        <v>2023</v>
      </c>
      <c r="K116">
        <v>2021</v>
      </c>
      <c r="L116">
        <v>7864887.3200000003</v>
      </c>
      <c r="M116">
        <f t="shared" si="1"/>
        <v>1140.6653110949965</v>
      </c>
    </row>
    <row r="117" spans="1:13" x14ac:dyDescent="0.25">
      <c r="A117" t="s">
        <v>127</v>
      </c>
      <c r="B117" s="3">
        <v>5219902</v>
      </c>
      <c r="C117">
        <v>6265</v>
      </c>
      <c r="D117">
        <v>130440.77</v>
      </c>
      <c r="E117">
        <v>5834057.3899999997</v>
      </c>
      <c r="F117">
        <v>2</v>
      </c>
      <c r="G117">
        <v>0.31923383878691142</v>
      </c>
      <c r="H117">
        <v>130583000</v>
      </c>
      <c r="I117">
        <v>20843.259999999998</v>
      </c>
      <c r="J117">
        <v>2023</v>
      </c>
      <c r="K117">
        <v>2021</v>
      </c>
      <c r="L117">
        <v>13106626.199999999</v>
      </c>
      <c r="M117">
        <f t="shared" si="1"/>
        <v>2092.0392976855546</v>
      </c>
    </row>
    <row r="118" spans="1:13" x14ac:dyDescent="0.25">
      <c r="A118" t="s">
        <v>128</v>
      </c>
      <c r="B118" s="3">
        <v>5220009</v>
      </c>
      <c r="C118">
        <v>14423</v>
      </c>
      <c r="D118">
        <v>172499.72</v>
      </c>
      <c r="E118">
        <v>14693127.59</v>
      </c>
      <c r="F118">
        <v>1</v>
      </c>
      <c r="G118">
        <v>6.9333703113083262E-2</v>
      </c>
      <c r="H118">
        <v>569989000</v>
      </c>
      <c r="I118">
        <v>39519.449999999997</v>
      </c>
      <c r="J118">
        <v>2023</v>
      </c>
      <c r="K118">
        <v>2021</v>
      </c>
      <c r="L118">
        <v>16881126.449999999</v>
      </c>
      <c r="M118">
        <f t="shared" si="1"/>
        <v>1170.4310094987172</v>
      </c>
    </row>
    <row r="119" spans="1:13" x14ac:dyDescent="0.25">
      <c r="A119" t="s">
        <v>129</v>
      </c>
      <c r="B119" s="3">
        <v>5220108</v>
      </c>
      <c r="C119">
        <v>34488</v>
      </c>
      <c r="D119">
        <v>1430326.5</v>
      </c>
      <c r="E119">
        <v>35998779.82</v>
      </c>
      <c r="F119">
        <v>5</v>
      </c>
      <c r="G119">
        <v>0.14497796334957089</v>
      </c>
      <c r="H119">
        <v>1486904000</v>
      </c>
      <c r="I119">
        <v>43113.66</v>
      </c>
      <c r="J119">
        <v>2023</v>
      </c>
      <c r="K119">
        <v>2021</v>
      </c>
      <c r="L119">
        <v>93588216.680000007</v>
      </c>
      <c r="M119">
        <f t="shared" si="1"/>
        <v>2713.6458095569474</v>
      </c>
    </row>
    <row r="120" spans="1:13" x14ac:dyDescent="0.25">
      <c r="A120" t="s">
        <v>130</v>
      </c>
      <c r="B120" s="3">
        <v>5220157</v>
      </c>
      <c r="C120">
        <v>5263</v>
      </c>
      <c r="D120">
        <v>82585.179999999993</v>
      </c>
      <c r="E120">
        <v>8500807.4299999997</v>
      </c>
      <c r="F120">
        <v>2</v>
      </c>
      <c r="G120">
        <v>0.38001140034201031</v>
      </c>
      <c r="H120">
        <v>137395000</v>
      </c>
      <c r="I120">
        <v>26105.83</v>
      </c>
      <c r="J120">
        <v>2023</v>
      </c>
      <c r="K120">
        <v>2021</v>
      </c>
      <c r="L120">
        <v>18563548.059999999</v>
      </c>
      <c r="M120">
        <f t="shared" si="1"/>
        <v>3527.1799467984038</v>
      </c>
    </row>
    <row r="121" spans="1:13" x14ac:dyDescent="0.25">
      <c r="A121" t="s">
        <v>131</v>
      </c>
      <c r="B121" s="3">
        <v>5220207</v>
      </c>
      <c r="C121">
        <v>21849</v>
      </c>
      <c r="D121">
        <v>222711.28</v>
      </c>
      <c r="E121">
        <v>20926324.719999999</v>
      </c>
      <c r="F121">
        <v>8</v>
      </c>
      <c r="G121">
        <v>0.36614948052542451</v>
      </c>
      <c r="H121">
        <v>691572000</v>
      </c>
      <c r="I121">
        <v>31652.34</v>
      </c>
      <c r="J121">
        <v>2023</v>
      </c>
      <c r="K121">
        <v>2021</v>
      </c>
      <c r="L121">
        <v>71161875.049999997</v>
      </c>
      <c r="M121">
        <f t="shared" si="1"/>
        <v>3256.9854478465832</v>
      </c>
    </row>
    <row r="122" spans="1:13" x14ac:dyDescent="0.25">
      <c r="A122" t="s">
        <v>132</v>
      </c>
      <c r="B122" s="3">
        <v>5220405</v>
      </c>
      <c r="C122">
        <v>21318</v>
      </c>
      <c r="D122">
        <v>506627.66</v>
      </c>
      <c r="E122">
        <v>57399060.149999999</v>
      </c>
      <c r="F122">
        <v>4</v>
      </c>
      <c r="G122">
        <v>0.1876348625574632</v>
      </c>
      <c r="H122">
        <v>1432833000</v>
      </c>
      <c r="I122">
        <v>67212.36</v>
      </c>
      <c r="J122">
        <v>2023</v>
      </c>
      <c r="K122">
        <v>2021</v>
      </c>
      <c r="L122">
        <v>53608970.979999997</v>
      </c>
      <c r="M122">
        <f t="shared" si="1"/>
        <v>2514.727975419833</v>
      </c>
    </row>
    <row r="123" spans="1:13" x14ac:dyDescent="0.25">
      <c r="A123" t="s">
        <v>133</v>
      </c>
      <c r="B123" s="3">
        <v>5221197</v>
      </c>
      <c r="C123">
        <v>8326</v>
      </c>
      <c r="D123">
        <v>1320</v>
      </c>
      <c r="E123">
        <v>6111889.0899999999</v>
      </c>
      <c r="F123">
        <v>1</v>
      </c>
      <c r="G123">
        <v>0.1201056930098487</v>
      </c>
      <c r="H123">
        <v>211068000</v>
      </c>
      <c r="I123">
        <v>25350.47</v>
      </c>
      <c r="J123">
        <v>2023</v>
      </c>
      <c r="K123">
        <v>2021</v>
      </c>
      <c r="L123">
        <v>17544268.239999998</v>
      </c>
      <c r="M123">
        <f t="shared" si="1"/>
        <v>2107.1664953158779</v>
      </c>
    </row>
    <row r="124" spans="1:13" x14ac:dyDescent="0.25">
      <c r="A124" t="s">
        <v>134</v>
      </c>
      <c r="B124" s="3">
        <v>5221403</v>
      </c>
      <c r="C124">
        <v>132006</v>
      </c>
      <c r="D124">
        <v>10289975.890000001</v>
      </c>
      <c r="E124">
        <v>41544230.450000003</v>
      </c>
      <c r="F124">
        <v>48</v>
      </c>
      <c r="G124">
        <v>0.36361983546202448</v>
      </c>
      <c r="H124">
        <v>2666621000</v>
      </c>
      <c r="I124">
        <v>20200.759999999998</v>
      </c>
      <c r="J124">
        <v>2023</v>
      </c>
      <c r="K124">
        <v>2021</v>
      </c>
      <c r="L124">
        <v>319765720.72000003</v>
      </c>
      <c r="M124">
        <f t="shared" si="1"/>
        <v>2422.3574740542099</v>
      </c>
    </row>
    <row r="125" spans="1:13" x14ac:dyDescent="0.25">
      <c r="A125" t="s">
        <v>135</v>
      </c>
      <c r="B125" s="3">
        <v>5221452</v>
      </c>
      <c r="C125">
        <v>3497</v>
      </c>
      <c r="D125">
        <v>22254.46</v>
      </c>
      <c r="E125">
        <v>5901871.4500000002</v>
      </c>
      <c r="F125">
        <v>1</v>
      </c>
      <c r="G125">
        <v>0.28595939376608531</v>
      </c>
      <c r="H125">
        <v>70124000</v>
      </c>
      <c r="I125">
        <v>20052.62</v>
      </c>
      <c r="J125">
        <v>2023</v>
      </c>
      <c r="K125">
        <v>2021</v>
      </c>
      <c r="L125">
        <v>8549781.8699999992</v>
      </c>
      <c r="M125">
        <f t="shared" si="1"/>
        <v>2444.8904403774663</v>
      </c>
    </row>
    <row r="126" spans="1:13" x14ac:dyDescent="0.25">
      <c r="A126" t="s">
        <v>136</v>
      </c>
      <c r="B126" s="3">
        <v>5221551</v>
      </c>
      <c r="C126">
        <v>5447</v>
      </c>
      <c r="D126">
        <v>67538.66</v>
      </c>
      <c r="E126">
        <v>18391348.489999998</v>
      </c>
      <c r="F126">
        <v>1</v>
      </c>
      <c r="G126">
        <v>0.18358729575913349</v>
      </c>
      <c r="H126">
        <v>566461000</v>
      </c>
      <c r="I126">
        <v>103995.04</v>
      </c>
      <c r="J126">
        <v>2023</v>
      </c>
      <c r="K126">
        <v>2021</v>
      </c>
      <c r="L126">
        <v>11691542.130000001</v>
      </c>
      <c r="M126">
        <f t="shared" si="1"/>
        <v>2146.4186029006796</v>
      </c>
    </row>
    <row r="127" spans="1:13" x14ac:dyDescent="0.25">
      <c r="A127" t="s">
        <v>137</v>
      </c>
      <c r="B127" s="3">
        <v>5221700</v>
      </c>
      <c r="C127">
        <v>13795</v>
      </c>
      <c r="D127">
        <v>319581.8</v>
      </c>
      <c r="E127">
        <v>13169329.800000001</v>
      </c>
      <c r="F127">
        <v>4</v>
      </c>
      <c r="G127">
        <v>0.28996013048205871</v>
      </c>
      <c r="H127">
        <v>294357000</v>
      </c>
      <c r="I127">
        <v>21337.95</v>
      </c>
      <c r="J127">
        <v>2023</v>
      </c>
      <c r="K127">
        <v>2021</v>
      </c>
      <c r="L127">
        <v>15913969.960000001</v>
      </c>
      <c r="M127">
        <f t="shared" si="1"/>
        <v>1153.6042015222909</v>
      </c>
    </row>
    <row r="128" spans="1:13" x14ac:dyDescent="0.25">
      <c r="A128" t="s">
        <v>138</v>
      </c>
      <c r="B128" s="3">
        <v>5221601</v>
      </c>
      <c r="C128">
        <v>41150</v>
      </c>
      <c r="D128">
        <v>737161.04</v>
      </c>
      <c r="E128">
        <v>20479496.09</v>
      </c>
      <c r="F128">
        <v>6</v>
      </c>
      <c r="G128">
        <v>0.1458080194410693</v>
      </c>
      <c r="H128">
        <v>1299876000</v>
      </c>
      <c r="I128">
        <v>31588.720000000001</v>
      </c>
      <c r="J128">
        <v>2023</v>
      </c>
      <c r="K128">
        <v>2021</v>
      </c>
      <c r="L128">
        <v>113532326.51000001</v>
      </c>
      <c r="M128">
        <f t="shared" si="1"/>
        <v>2758.9872784933173</v>
      </c>
    </row>
    <row r="129" spans="1:13" x14ac:dyDescent="0.25">
      <c r="A129" t="s">
        <v>139</v>
      </c>
      <c r="B129" s="3">
        <v>5221809</v>
      </c>
      <c r="C129">
        <v>3056</v>
      </c>
      <c r="D129">
        <v>1800</v>
      </c>
      <c r="E129">
        <v>555676.18999999994</v>
      </c>
      <c r="F129">
        <v>2</v>
      </c>
      <c r="G129">
        <v>0.65445026178010479</v>
      </c>
      <c r="H129">
        <v>164803000</v>
      </c>
      <c r="I129">
        <v>53927.68</v>
      </c>
      <c r="J129">
        <v>2023</v>
      </c>
      <c r="K129">
        <v>2021</v>
      </c>
      <c r="L129">
        <v>7561162.8700000001</v>
      </c>
      <c r="M129">
        <f t="shared" si="1"/>
        <v>2474.2025098167542</v>
      </c>
    </row>
    <row r="130" spans="1:13" x14ac:dyDescent="0.25">
      <c r="A130" t="s">
        <v>140</v>
      </c>
      <c r="B130" s="3">
        <v>5221858</v>
      </c>
      <c r="C130">
        <v>175720</v>
      </c>
      <c r="D130">
        <v>513777.96</v>
      </c>
      <c r="E130">
        <v>25379387.77</v>
      </c>
      <c r="F130">
        <v>38</v>
      </c>
      <c r="G130">
        <v>0.21625312997951279</v>
      </c>
      <c r="H130">
        <v>2964512000</v>
      </c>
      <c r="I130">
        <v>16870.66</v>
      </c>
      <c r="J130">
        <v>2023</v>
      </c>
      <c r="K130">
        <v>2021</v>
      </c>
      <c r="L130">
        <v>345565219.06999999</v>
      </c>
      <c r="M130">
        <f t="shared" si="1"/>
        <v>1966.5673746300934</v>
      </c>
    </row>
    <row r="131" spans="1:13" x14ac:dyDescent="0.25">
      <c r="A131" t="s">
        <v>141</v>
      </c>
      <c r="B131" s="3">
        <v>5222054</v>
      </c>
      <c r="C131">
        <v>9002</v>
      </c>
      <c r="D131">
        <v>38298.949999999997</v>
      </c>
      <c r="E131">
        <v>18813981.579999998</v>
      </c>
      <c r="F131">
        <v>2</v>
      </c>
      <c r="G131">
        <v>0.2221728504776716</v>
      </c>
      <c r="H131">
        <v>480173000</v>
      </c>
      <c r="I131">
        <v>53340.7</v>
      </c>
      <c r="J131">
        <v>2023</v>
      </c>
      <c r="K131">
        <v>2021</v>
      </c>
      <c r="L131">
        <v>27780792.489999998</v>
      </c>
      <c r="M131">
        <f t="shared" ref="M131:M134" si="2">L131/C131</f>
        <v>3086.0689280159963</v>
      </c>
    </row>
    <row r="132" spans="1:13" x14ac:dyDescent="0.25">
      <c r="A132" t="s">
        <v>142</v>
      </c>
      <c r="B132" s="3">
        <v>5222203</v>
      </c>
      <c r="C132">
        <v>6451</v>
      </c>
      <c r="D132">
        <v>36937.26</v>
      </c>
      <c r="E132">
        <v>6424760.9299999997</v>
      </c>
      <c r="F132">
        <v>1</v>
      </c>
      <c r="G132">
        <v>0.1550147263990079</v>
      </c>
      <c r="H132">
        <v>179899000</v>
      </c>
      <c r="I132">
        <v>27886.99</v>
      </c>
      <c r="J132">
        <v>2023</v>
      </c>
      <c r="K132">
        <v>2021</v>
      </c>
      <c r="L132">
        <v>9201081.2799999993</v>
      </c>
      <c r="M132">
        <f t="shared" si="2"/>
        <v>1426.3030971942333</v>
      </c>
    </row>
    <row r="133" spans="1:13" x14ac:dyDescent="0.25">
      <c r="A133" t="s">
        <v>143</v>
      </c>
      <c r="B133" s="3">
        <v>5200175</v>
      </c>
      <c r="C133">
        <v>5843</v>
      </c>
      <c r="D133">
        <v>186517.67</v>
      </c>
      <c r="E133">
        <v>15121051.560000001</v>
      </c>
      <c r="F133">
        <v>1</v>
      </c>
      <c r="G133">
        <v>0.17114495978093441</v>
      </c>
      <c r="H133">
        <v>533233000</v>
      </c>
      <c r="I133">
        <v>91260.14</v>
      </c>
      <c r="J133">
        <v>2023</v>
      </c>
      <c r="K133">
        <v>2021</v>
      </c>
      <c r="L133">
        <v>18816393.469999999</v>
      </c>
      <c r="M133">
        <f t="shared" si="2"/>
        <v>3220.3309036453875</v>
      </c>
    </row>
    <row r="134" spans="1:13" x14ac:dyDescent="0.25">
      <c r="A134" t="s">
        <v>144</v>
      </c>
      <c r="B134" s="3">
        <v>5200258</v>
      </c>
      <c r="C134">
        <v>222850</v>
      </c>
      <c r="D134">
        <v>419490.05</v>
      </c>
      <c r="E134">
        <v>19390592.23</v>
      </c>
      <c r="F134">
        <v>43</v>
      </c>
      <c r="G134">
        <v>0.192954902400718</v>
      </c>
      <c r="H134">
        <v>2463152000</v>
      </c>
      <c r="I134">
        <v>11052.96</v>
      </c>
      <c r="J134">
        <v>2023</v>
      </c>
      <c r="K134">
        <v>2021</v>
      </c>
      <c r="L134">
        <v>339888885.43000001</v>
      </c>
      <c r="M134">
        <f t="shared" si="2"/>
        <v>1525.1913189589411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JULIA CAMPOS GUIMARAES</cp:lastModifiedBy>
  <dcterms:created xsi:type="dcterms:W3CDTF">2025-10-30T00:55:18Z</dcterms:created>
  <dcterms:modified xsi:type="dcterms:W3CDTF">2025-10-30T00:59:11Z</dcterms:modified>
</cp:coreProperties>
</file>